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rothers\Desktop\Catalog\Catalog\"/>
    </mc:Choice>
  </mc:AlternateContent>
  <xr:revisionPtr revIDLastSave="0" documentId="13_ncr:1_{4C16A5D3-3DEB-410E-8333-DE3A90FD1C43}" xr6:coauthVersionLast="47" xr6:coauthVersionMax="47" xr10:uidLastSave="{00000000-0000-0000-0000-000000000000}"/>
  <bookViews>
    <workbookView xWindow="-120" yWindow="-120" windowWidth="29040" windowHeight="15840" tabRatio="500" activeTab="2" xr2:uid="{00000000-000D-0000-FFFF-FFFF00000000}"/>
  </bookViews>
  <sheets>
    <sheet name="Overview" sheetId="1" r:id="rId1"/>
    <sheet name="Must Buy" sheetId="2" r:id="rId2"/>
    <sheet name="Test Buy" sheetId="3" r:id="rId3"/>
    <sheet name="Avoid" sheetId="4" r:id="rId4"/>
    <sheet name="Investment Summary" sheetId="5" r:id="rId5"/>
    <sheet name="Pricing Corrections" sheetId="6" r:id="rId6"/>
    <sheet name="Additional Opportunities" sheetId="7" r:id="rId7"/>
    <sheet name="Website Readiness" sheetId="8" r:id="rId8"/>
    <sheet name="Generic Catalog (USD)" sheetId="9" r:id="rId9"/>
    <sheet name="Negotiation &amp; KPIs" sheetId="10" r:id="rId10"/>
  </sheet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15" i="7" l="1"/>
  <c r="G14" i="7"/>
  <c r="G13" i="7"/>
  <c r="G12" i="7"/>
  <c r="G11" i="7"/>
  <c r="G10" i="7"/>
  <c r="G9" i="7"/>
  <c r="G8" i="7"/>
  <c r="G7" i="7"/>
  <c r="G6" i="7"/>
  <c r="G5" i="7"/>
  <c r="G4" i="7"/>
  <c r="B17" i="5"/>
  <c r="B16" i="5"/>
  <c r="B5" i="5"/>
  <c r="B4" i="5"/>
  <c r="J7" i="4"/>
  <c r="J6" i="4"/>
  <c r="J5" i="4"/>
  <c r="J4" i="4"/>
  <c r="J3" i="4"/>
  <c r="L9" i="3"/>
  <c r="J9" i="3"/>
  <c r="L8" i="3"/>
  <c r="J8" i="3"/>
  <c r="L7" i="3"/>
  <c r="J7" i="3"/>
  <c r="L6" i="3"/>
  <c r="J6" i="3"/>
  <c r="L5" i="3"/>
  <c r="J5" i="3"/>
  <c r="L4" i="3"/>
  <c r="J4" i="3"/>
  <c r="L3" i="3"/>
  <c r="J3" i="3"/>
  <c r="L12" i="2"/>
  <c r="C4" i="5" s="1"/>
  <c r="L11" i="2"/>
  <c r="J11" i="2"/>
  <c r="L10" i="2"/>
  <c r="J10" i="2"/>
  <c r="L9" i="2"/>
  <c r="J9" i="2"/>
  <c r="L8" i="2"/>
  <c r="J8" i="2"/>
  <c r="L7" i="2"/>
  <c r="J7" i="2"/>
  <c r="L6" i="2"/>
  <c r="J6" i="2"/>
  <c r="L5" i="2"/>
  <c r="J5" i="2"/>
  <c r="L4" i="2"/>
  <c r="J4" i="2"/>
  <c r="L3" i="2"/>
  <c r="J3" i="2"/>
  <c r="L10" i="3" l="1"/>
  <c r="C5" i="5" s="1"/>
  <c r="C6" i="5" s="1"/>
  <c r="C16" i="5" s="1"/>
  <c r="B6" i="5"/>
  <c r="C17" i="5" l="1"/>
</calcChain>
</file>

<file path=xl/sharedStrings.xml><?xml version="1.0" encoding="utf-8"?>
<sst xmlns="http://schemas.openxmlformats.org/spreadsheetml/2006/main" count="495" uniqueCount="375">
  <si>
    <t>ByteHub — Master Merged Catalog &amp; Procurement Review</t>
  </si>
  <si>
    <t>Consolidated from: Anker/Soundcore/eufy Price List (17-Mar-2026) · Joyroom Price List (26-Jul-2026) · ByteHub Procurement Plan · catalog_readiness.xlsx · Product_Catalog (1) &amp; (2)</t>
  </si>
  <si>
    <t>⚠ HEADLINE FINDING — the procurement plan's own budget math does not add up</t>
  </si>
  <si>
    <t>•</t>
  </si>
  <si>
    <t>Re-multiplying the plan's own quantities × its own RDP (cost) figures gives a Must-Buy basket of ≈ 78,475 ج.م and a Test-Buy basket of ≈ 37,310 ج.م — a combined ≈ 115,785 ج.م, not the ≈ 38,500 ج.م stated in section 3 of the plan (roughly 3x understated). See the 'Investment Summary' sheet — every total there is a live formula (qty × verified RDP), so it will recalculate correctly if quantities change.</t>
  </si>
  <si>
    <t>Three RDP (wholesale cost) figures quoted in the plan do not match the supplier price lists it says it was built from. The worst case (Anker A2667, 65W GaN charger) turns a claimed 50% margin into a real 16.5% margin — below the plan's own 'Avoid' threshold (&lt;20%) — and its assumed market retail range (1,000–1,400 ج.م) is actually BELOW the real wholesale cost (1,665 ج.م), which would mean a loss on every unit sold at that range. Full detail in 'Pricing Corrections'.</t>
  </si>
  <si>
    <t>One Joyroom product code is wrong: the plan's 'JR-PK1' retractable-cable power bank does not exist in the Joyroom list — its price figures (990/1,399) match model JR-PR1 instead. Confirm the SKU with Joyroom before ordering.</t>
  </si>
  <si>
    <t>This workbook does not change the plan's purchasing judgement calls (Must/Test/Avoid logic) — it re-verifies every number against the two source price lists, fixes the arithmetic, and flags what needs a human decision.</t>
  </si>
  <si>
    <t>What's in this workbook</t>
  </si>
  <si>
    <t>Sheet</t>
  </si>
  <si>
    <t>What it contains</t>
  </si>
  <si>
    <t>Must Buy</t>
  </si>
  <si>
    <t>9 SKUs — corrected RDP/RRP, live margin &amp; cost formulas, qty, notes.</t>
  </si>
  <si>
    <t>Test Buy</t>
  </si>
  <si>
    <t>9 SKUs — same treatment, incl. the JR-PK1→JR-PR1 correction.</t>
  </si>
  <si>
    <t>Avoid</t>
  </si>
  <si>
    <t>5 SKUs — verified, incl. the Anker A1336 RDP correction (margin is actually ~18%, not 28%).</t>
  </si>
  <si>
    <t>Investment Summary</t>
  </si>
  <si>
    <t>Live totals by list and by supplier — replaces the plan's static, incorrect numbers.</t>
  </si>
  <si>
    <t>Pricing Corrections</t>
  </si>
  <si>
    <t>Every discrepancy found between the plan and the two source price lists, with the source line quoted.</t>
  </si>
  <si>
    <t>Additional Opportunities</t>
  </si>
  <si>
    <t>Anker/Joyroom/eufy/Soundcore SKUs already priced in the two supplier lists but not mentioned anywhere in the plan — candidates for a v2 basket.</t>
  </si>
  <si>
    <t>Website Readiness</t>
  </si>
  <si>
    <t>The 7 draft products / 22 build-blockers from catalog_readiness.xlsx, with a recommended real SKU (and its RDP/RRP) to close each price gap where one exists.</t>
  </si>
  <si>
    <t>Generic Catalog (USD)</t>
  </si>
  <si>
    <t>Product_Catalog (1) &amp; (2) merged — flagged as NOT sourced from the current Anker/Joyroom supplier lists; recommendation included.</t>
  </si>
  <si>
    <t>Negotiation &amp; KPIs</t>
  </si>
  <si>
    <t>Condensed supplier-negotiation talking points and success KPIs from the plan, unchanged.</t>
  </si>
  <si>
    <t>ByteHub Procurement — Must Buy</t>
  </si>
  <si>
    <t>#</t>
  </si>
  <si>
    <t>Product</t>
  </si>
  <si>
    <t>Category</t>
  </si>
  <si>
    <t>Supplier</t>
  </si>
  <si>
    <t>Model / SKU</t>
  </si>
  <si>
    <t>RDP
(plan, EGP)</t>
  </si>
  <si>
    <t>RDP
(verified, EGP)</t>
  </si>
  <si>
    <t>RRP
(verified, EGP)</t>
  </si>
  <si>
    <t>Local Market
(EGP)</t>
  </si>
  <si>
    <t>Margin %
(RRP basis)</t>
  </si>
  <si>
    <t>Qty</t>
  </si>
  <si>
    <t>Est. Cost
(EGP, formula)</t>
  </si>
  <si>
    <t>Verification Notes</t>
  </si>
  <si>
    <t>شواحن</t>
  </si>
  <si>
    <t>Joyroom</t>
  </si>
  <si>
    <t>JR-TCG13</t>
  </si>
  <si>
    <t>550-720</t>
  </si>
  <si>
    <t>Matches Joyroom list exactly.</t>
  </si>
  <si>
    <t>JR-TCF20</t>
  </si>
  <si>
    <t>350-500</t>
  </si>
  <si>
    <t>كابلات</t>
  </si>
  <si>
    <t>S-A59</t>
  </si>
  <si>
    <t>200-300</t>
  </si>
  <si>
    <t>Matches Joyroom list exactly (multi-colour SKU, same price).</t>
  </si>
  <si>
    <t>S-A42</t>
  </si>
  <si>
    <t>250-350</t>
  </si>
  <si>
    <t>Matches Joyroom list (USB-A variant; Type-C-Type-C 60W variant is RDP 180/RRP 390).</t>
  </si>
  <si>
    <t>باور بانك</t>
  </si>
  <si>
    <t>JR-PBF12</t>
  </si>
  <si>
    <t>580-730</t>
  </si>
  <si>
    <t>JR-QP192 Mini</t>
  </si>
  <si>
    <t>1,100-1,400</t>
  </si>
  <si>
    <t>سماعات</t>
  </si>
  <si>
    <t>JR-T03S</t>
  </si>
  <si>
    <t>700-850</t>
  </si>
  <si>
    <t>Anker</t>
  </si>
  <si>
    <t>A2149</t>
  </si>
  <si>
    <t>395-450</t>
  </si>
  <si>
    <t>Matches Anker list exactly.</t>
  </si>
  <si>
    <t>A8852</t>
  </si>
  <si>
    <t>300-400 (plan's guess — unverified)</t>
  </si>
  <si>
    <t>MISMATCH: plan's RDP 280 does not appear in the Anker list for A8852; the sheet shows RDP 460 / RRP 577 twice. Real margin is only 20.3%, below this plan's own 35% Must-Buy bar, and the plan's assumed market price (300-400) is BELOW the real cost. Recommend re-costing before ordering — move to 'Test Buy' or drop until a real EG street price is checked.</t>
  </si>
  <si>
    <t>TOTAL</t>
  </si>
  <si>
    <t>ByteHub Procurement — Test Buy</t>
  </si>
  <si>
    <t>SA21-1T3</t>
  </si>
  <si>
    <t>400-500</t>
  </si>
  <si>
    <t>Joyroom uses SA21-1T3 for TWO cables at different prices (Type-C-input 30W: RDP 275/RRP 550, and USB-A-input 100W: RDP 265/RRP 525). Plan's numbers match the 100W/USB-A version — confirm that is the one intended before ordering.</t>
  </si>
  <si>
    <t>SA21-2T3</t>
  </si>
  <si>
    <t>600-700</t>
  </si>
  <si>
    <t>JR-PK1 → JR-PR1</t>
  </si>
  <si>
    <t>1,100-1,300</t>
  </si>
  <si>
    <t>SKU CORRECTION: 'JR-PK1' does not exist in the Joyroom list. The quoted price (990/1,399) matches model JR-PR1 (22.5W built-in retractable-cable power bank, 10,000mAh) exactly — use JR-PR1 when ordering.</t>
  </si>
  <si>
    <t>JR-PBM01</t>
  </si>
  <si>
    <t>1,200-1,400</t>
  </si>
  <si>
    <t>JR-FN3</t>
  </si>
  <si>
    <t>1,200-1,500</t>
  </si>
  <si>
    <t>A2667</t>
  </si>
  <si>
    <t>1,000-1,400 (plan's guess — below real cost)</t>
  </si>
  <si>
    <t>CRITICAL MISMATCH: the Anker list shows A2667G12 (735 PowerPort III, 3-Port 65W POD) at RDP 1,665 / RRP 1,995 — not RDP 830/RRP 1,665 as in the plan. Real margin is only 16.5%, below this plan's own 20% Avoid threshold, and the plan's assumed market range (1,000-1,400) is BELOW the real wholesale cost, which would be a guaranteed loss at that price. Recommend moving this SKU to Avoid until a real local sell-through price above 1,665 EGP is confirmed.</t>
  </si>
  <si>
    <t>S-A60</t>
  </si>
  <si>
    <t>300-400</t>
  </si>
  <si>
    <t>ByteHub Procurement — Avoid</t>
  </si>
  <si>
    <t>كابل PowerLine+ C-L 6ft</t>
  </si>
  <si>
    <t>A8843</t>
  </si>
  <si>
    <t>n/a — priced above market</t>
  </si>
  <si>
    <t>—</t>
  </si>
  <si>
    <t>Matches Anker list exactly. Confirmed: RDP is far above realistic EG retail; Joyroom S-A43 (Crystal-Clear C:L, RDP 185) is the recommended substitute, as the plan already suggests.</t>
  </si>
  <si>
    <t>باور بانك Zolo 10K</t>
  </si>
  <si>
    <t>A110D</t>
  </si>
  <si>
    <t>n/a — weak discount</t>
  </si>
  <si>
    <t>باور بانك Prime 20K 200W</t>
  </si>
  <si>
    <t>A1336</t>
  </si>
  <si>
    <t>n/a — niche/high-ticket</t>
  </si>
  <si>
    <t>MISMATCH: plan's RDP 5,450 belongs to a different Anker product line (several MagGo wireless charging docks share that exact RDP). The real A1336 (Prime Power Bank 20K/200W) RDP is 8,100 / RRP 9,898. Real margin is ~18%, close to — not above — the plan's own 20% Avoid cut-off, so the 'avoid unless a customer requests it' call is still correct, just for a lower margin than stated.</t>
  </si>
  <si>
    <t>سماعات T03S PRO MAX</t>
  </si>
  <si>
    <t>JR-T03S PRO MAX</t>
  </si>
  <si>
    <t>n/a — thin margin vs base model</t>
  </si>
  <si>
    <t>باور بانك 30K</t>
  </si>
  <si>
    <t>JR-QP193</t>
  </si>
  <si>
    <t>n/a — heavy/thin margin</t>
  </si>
  <si>
    <t>Not purchased</t>
  </si>
  <si>
    <t>Investment Summary — live formulas, corrected pricing</t>
  </si>
  <si>
    <t>Basket</t>
  </si>
  <si>
    <t># of SKUs</t>
  </si>
  <si>
    <t>Total Cost (EGP)</t>
  </si>
  <si>
    <t>Source</t>
  </si>
  <si>
    <t>Must Buy sheet, verified RDP</t>
  </si>
  <si>
    <t>Test Buy sheet, verified RDP</t>
  </si>
  <si>
    <t>TOTAL (verified)</t>
  </si>
  <si>
    <t>Sum of the two baskets above</t>
  </si>
  <si>
    <t>For comparison — the plan's own stated total (section 3)</t>
  </si>
  <si>
    <t>Plan's stated total</t>
  </si>
  <si>
    <t>18</t>
  </si>
  <si>
    <t>ByteHub Procurement Plan, section 3 — does not reconcile with its own qty × RDP</t>
  </si>
  <si>
    <t>Gap explained</t>
  </si>
  <si>
    <t>The plan's Must-Buy total (~28,000 ج.م) and Test-Buy total (~10,500 ج.م) do not equal its own quantity × RDP figures — re-multiplying its own table gives ~78,475 and ~37,310 ج.م respectively (~115,785 ج.م combined), before any of the pricing corrections on the 'Pricing Corrections' sheet are applied. With those corrections included, the true verified total is the figure in the TOTAL row above. Recommend re-approving the budget against this sheet, not section 3 of the original plan.</t>
  </si>
  <si>
    <t>Supplier split (Must Buy + Test Buy, verified)</t>
  </si>
  <si>
    <t>Cost (EGP)</t>
  </si>
  <si>
    <t>% of total</t>
  </si>
  <si>
    <t>Pricing Corrections Log — plan figures vs. the two source price lists</t>
  </si>
  <si>
    <t>SKU</t>
  </si>
  <si>
    <t>Plan says</t>
  </si>
  <si>
    <t>Source list says</t>
  </si>
  <si>
    <t>What this changes</t>
  </si>
  <si>
    <t>Anker A8852</t>
  </si>
  <si>
    <t>PowerLine III C-C cable</t>
  </si>
  <si>
    <t>RDP 280 / RRP 460</t>
  </si>
  <si>
    <t>RDP 460 / RRP 577 (Anker sheet, cables section, quoted twice)</t>
  </si>
  <si>
    <t>Margin drops from a claimed 39% to a real 20.3% — falls below this plan's own 35% 'Must Buy' bar. Recommend re-checking the real EG street price before ordering 20 units.</t>
  </si>
  <si>
    <t>Anker A2667</t>
  </si>
  <si>
    <t>735 PowerPort III, 3-Port 65W GaN charger</t>
  </si>
  <si>
    <t>RDP 830 / RRP 1,665</t>
  </si>
  <si>
    <t>RDP 1,665 / RRP 1,995 (Anker sheet, chargers section, quoted twice)</t>
  </si>
  <si>
    <t>Margin drops from a claimed 50% to a real 16.5% — below this plan's own 20% 'Avoid' cut-off. The plan's assumed market range (1,000-1,400 ج.م) is also BELOW the real wholesale cost. Recommend moving this SKU from Test Buy to Avoid, or confirming a resale price above 1,665 ج.م first.</t>
  </si>
  <si>
    <t>Anker A1336</t>
  </si>
  <si>
    <t>Prime Power Bank, 20,000mAh / 200W</t>
  </si>
  <si>
    <t>RDP 5,450</t>
  </si>
  <si>
    <t>RDP 8,100 / RRP 9,898 (Anker sheet, power banks section) — 5,450 belongs to several unrelated MagGo wireless-charging docks (B2557 / B25M3 / B25M1) that happen to share that RDP</t>
  </si>
  <si>
    <t>Already correctly placed in Avoid; real margin is ~18%, not the ~28% quoted, so the case for avoiding it is actually stronger than stated.</t>
  </si>
  <si>
    <t>Joyroom JR-PK1 → JR-PR1</t>
  </si>
  <si>
    <t>22.5W retractable-cable power bank, 10,000mAh</t>
  </si>
  <si>
    <t>Model code 'JR-PK1'</t>
  </si>
  <si>
    <t>No 'JR-PK1' exists in the Joyroom list. Price quoted (990/1,399) matches model JR-PR1 exactly.</t>
  </si>
  <si>
    <t>Use JR-PR1 on the purchase order and in the free-sample ask to Joyroom — 'JR-PK1' will not be recognised.</t>
  </si>
  <si>
    <t>Joyroom SA21-1T3</t>
  </si>
  <si>
    <t>3-in-1 Speedy fast-charging cable</t>
  </si>
  <si>
    <t>RDP 265 / RRP 525</t>
  </si>
  <si>
    <t>Joyroom lists TWO different products under SA21-1T3: a 30W Type-C-input version (RDP 275/RRP 550) and a 100W USB-A-input version (RDP 265/RRP 525).</t>
  </si>
  <si>
    <t>Plan's numbers match the 100W/USB-A version — make sure that is the one ordered, since the model code alone is ambiguous in Joyroom's own list.</t>
  </si>
  <si>
    <t>Joyroom JR-ZS259</t>
  </si>
  <si>
    <t>Car phone holder</t>
  </si>
  <si>
    <t>RDP 225-270 / RRP 450-475</t>
  </si>
  <si>
    <t>Joyroom lists TWO different holders under the same code JR-ZS259: a 'Holder with Flexible Arm for Dashboard' (RDP 270/RRP 475) and a clamp-style 'Dashboard' mount (RDP 225/RRP 450).</t>
  </si>
  <si>
    <t>The plan's range happens to cover both correctly, but the exact SKU should be confirmed with Joyroom before ordering — it is a live data-quality issue in their own list, not just this plan.</t>
  </si>
  <si>
    <t>Additional Opportunities — priced in the supplier lists, not covered by the plan at all</t>
  </si>
  <si>
    <t>The procurement plan only reasons about cables/chargers/power banks/TWS. Both supplier lists carry whole categories with real RDP/RRP already quoted that never appear in the plan. Margin uses the same (RRP-RDP)/RRP basis as the rest of this workbook.</t>
  </si>
  <si>
    <t>Example SKU</t>
  </si>
  <si>
    <t>RDP (EGP)</t>
  </si>
  <si>
    <t>RRP (EGP)</t>
  </si>
  <si>
    <t>Margin</t>
  </si>
  <si>
    <t>Note</t>
  </si>
  <si>
    <t>eufy robot vacuums</t>
  </si>
  <si>
    <t>Robovac G50 Hybrid (T2212)</t>
  </si>
  <si>
    <t>eufy</t>
  </si>
  <si>
    <t>'Quiet cleaning' angle already in Anker's own marketing page — easy bundle with home/office setup solutions.</t>
  </si>
  <si>
    <t>eufy trackers</t>
  </si>
  <si>
    <t>SmartTrack Card, Android (T87B5011)</t>
  </si>
  <si>
    <t>Small-ticket, high-margin, complements phone-case accessories.</t>
  </si>
  <si>
    <t>Soundcore TWS earbuds</t>
  </si>
  <si>
    <t>R50i NC (A3959, ANC)</t>
  </si>
  <si>
    <t>Anker/Soundcore</t>
  </si>
  <si>
    <t>Direct competitor to Joyroom JR-T03S at a higher price point — good up-sell pairing.</t>
  </si>
  <si>
    <t>Soundcore headphones</t>
  </si>
  <si>
    <t>Q20i ANC over-ear (A3004)</t>
  </si>
  <si>
    <t>Only 13.5% margin at list RRP — reprice or negotiate before stocking.</t>
  </si>
  <si>
    <t>Soundcore speakers</t>
  </si>
  <si>
    <t>Glow Mini (A3136)</t>
  </si>
  <si>
    <t>16.5% margin at list RRP — check local market before committing quantity.</t>
  </si>
  <si>
    <t>USB-C hubs / docks</t>
  </si>
  <si>
    <t>332 USB-C Hub 5-in-1 (A8355)</t>
  </si>
  <si>
    <t>Laptop-accessory cross-sell for any 'ترقية اللابتوب' (laptop upgrade) solution ByteHub builds.</t>
  </si>
  <si>
    <t>iPhone MagSafe cases</t>
  </si>
  <si>
    <t>iPhone 16 Pro Max Magnetic Case (A90H2)</t>
  </si>
  <si>
    <t>Anker (eufy line)</t>
  </si>
  <si>
    <t>Pairs naturally with the screen-protector SKUs already in Must/Test Buy.</t>
  </si>
  <si>
    <t>Joyroom smartwatches</t>
  </si>
  <si>
    <t>JR-FC3 Classic AMOLED (Answer/Make Call)</t>
  </si>
  <si>
    <t>New-product flag in Joyroom's own sheet — untested category for ByteHub.</t>
  </si>
  <si>
    <t>Joyroom wireless charger</t>
  </si>
  <si>
    <t>Qi2 4-in-1 desk charger (JR-W23)</t>
  </si>
  <si>
    <t>18.4% margin at list RRP — desk/home accessory, good with power-bank basket.</t>
  </si>
  <si>
    <t>Joyroom hybrid ANC headphones</t>
  </si>
  <si>
    <t>JR-JH1</t>
  </si>
  <si>
    <t>33.3% margin — was named in the plan's own 'free sample' ask to Joyroom but never priced or added to a buy list.</t>
  </si>
  <si>
    <t>Joyroom wired earphones</t>
  </si>
  <si>
    <t>Type-C EC05 half in-ear (JR-EC05)</t>
  </si>
  <si>
    <t>57.3% margin — cheapest possible earphone SKU, good impulse/upsell item at checkout.</t>
  </si>
  <si>
    <t>Joyroom stylus pen</t>
  </si>
  <si>
    <t>3-in-1 Magnetic Capacitive Pen (JR-BP561)</t>
  </si>
  <si>
    <t>59% margin — tablet-accessory cross-sell.</t>
  </si>
  <si>
    <t>Website Readiness — 7 draft products from catalog_readiness.xlsx, matched to real supplier data</t>
  </si>
  <si>
    <t>catalog_readiness.xlsx also lists 3 draft/coming-soon Solutions and 6 coming-soon Services, and 22 build-blockers overall. The products below are the ones this catalogue can actually help close.</t>
  </si>
  <si>
    <t>Draft product</t>
  </si>
  <si>
    <t>Key missing fields</t>
  </si>
  <si>
    <t>Recommended fix using this catalogue</t>
  </si>
  <si>
    <t>Real SKU / RDP-RRP if matched</t>
  </si>
  <si>
    <t>Anker Soundcore R50i (ERBD-ANKR-R50I)</t>
  </si>
  <si>
    <t>price.amount, warranty_months, images, condition, compatible_with, specs.battery_life, specs.water_resistance</t>
  </si>
  <si>
    <t>Matches Anker's plain 'R50i VI' (no ANC/NC) in the Soundcore TWS section: 10mm driver, 10-30h battery in case, BT5.3, IPX5, 2-mic. Use this to fill battery_life and water_resistance directly; condition = New.</t>
  </si>
  <si>
    <t>A3969 · RDP 880 / RRP 1,099</t>
  </si>
  <si>
    <t>Anker Soundcore R50i NC (ERBD-ANKR-R50INC)</t>
  </si>
  <si>
    <t>Matches Anker's 'R50i NC' (active noise cancelling): 10mm driver, 10-45h in case, BT5.4, IP54, 4-mic.</t>
  </si>
  <si>
    <t>A3959 · RDP 1,390 / RRP 1,699</t>
  </si>
  <si>
    <t>قرص SSD بمنفذ SATA (مسودة)</t>
  </si>
  <si>
    <t>price, brand, capacity, warranty, stock_state, images, slug, why_we_chose_it, suited_for, read/write speed</t>
  </si>
  <si>
    <t>Product_Catalog (2) lists 5 SATA SSD candidates (Crucial BX500, Kingston A400, Lexar NS, PNY CS900, WD Blue SA510) with specs and 3-5yr warranties — but prices are USD estimates, not EG wholesale quotes. Use for the spec/description fields only; get a real EGP cost from a local distributor before setting price.amount.</t>
  </si>
  <si>
    <t>No verified EGP source yet</t>
  </si>
  <si>
    <t>قرص SSD NVMe بمنفذ M.2 (مسودة)</t>
  </si>
  <si>
    <t>No NVMe/M.2 product exists anywhere across all 5 files supplied (Product_Catalog 1 &amp; 2 are SATA/flash/RAM only). This is a genuine sourcing gap, not a data-entry gap — needs a new supplier quote from scratch.</t>
  </si>
  <si>
    <t>No source at all</t>
  </si>
  <si>
    <t>ذاكرة RAM (مسودة)</t>
  </si>
  <si>
    <t>price, brand, capacity, ram_type, warranty, stock_state, images, slug, condition, why_we_chose_it, suited_for, speed, voltage</t>
  </si>
  <si>
    <t>Product_Catalog (1) lists 4 RAM SKUs (4GB DDR3L 1600 laptop, 4GB DDR4 2666 desktop, 4GB DDR3 1600 desktop, 8GB DDR3L 1600 desktop), all condition 'Original Used' — fills ram_type/speed/voltage/condition directly, but again needs an EGP cost before publishing.</t>
  </si>
  <si>
    <t>USD $5-15 est., unverified EGP</t>
  </si>
  <si>
    <t>باور بانك (مسودة)</t>
  </si>
  <si>
    <t>price, brand, capacity, output_power, warranty, stock_state, images, slug, condition, why_we_chose_it, suited_for, compatible_with, ports</t>
  </si>
  <si>
    <t>Strongest match of all seven: Joyroom already has 8 fully-priced power banks in EGP, incl. two already approved as Must Buy (JR-PBF12, JR-QP192 Mini). Recommend retiring this generic draft and linking the listing straight to an approved Joyroom SKU instead of filling 13 fields by hand.</t>
  </si>
  <si>
    <t>e.g. JR-PBF12 · RDP 420 / RRP 730</t>
  </si>
  <si>
    <t>شاحن جداري Joyroom (مسودة)</t>
  </si>
  <si>
    <t>price, output_power, warranty, stock_state, images, slug, condition, why_we_chose_it, suited_for, compatible_with, ports</t>
  </si>
  <si>
    <t>Same situation: Joyroom has 5+ wall chargers already priced, two already Must Buy (JR-TCG13, JR-TCF20). Retire the generic draft and link directly to the approved SKU rather than treating it as a separate product.</t>
  </si>
  <si>
    <t>e.g. JR-TCG13 · RDP 440 / RRP 750</t>
  </si>
  <si>
    <t>Other build blockers (not product data)</t>
  </si>
  <si>
    <t>2 products (R50i, R50i NC) still carry TODO placeholder copy for 'why_we_chose_it' and 'suited_for' — needs real marketing copy approved, not just a price fix.</t>
  </si>
  <si>
    <t>Solution 'ترقية اللابتوب' (laptop upgrade) is status: draft and references the SSD/RAM/step products above — it cannot go live until those product gaps are closed, so treat this as the same blocker, not a separate one.</t>
  </si>
  <si>
    <t>3 Services (SSD+RAM install, data transfer, PC maintenance, networking, CCTV, digital services) are all still coming_soon and missing price_min/price_max/sla_hours — none of that pricing exists in any file supplied here; it needs to be set independently of the product catalogue.</t>
  </si>
  <si>
    <t>Generic Catalog (Product_Catalog 1 &amp; 2) — NOT from Anker or Joyroom, in USD</t>
  </si>
  <si>
    <t>These 28 items (21 in Product_Catalog 1, 7 in Product_Catalog 2) are unrelated brands (Crucial, Kingston, Lexar, PNY, WD, Dell, HP, Logitech, Havit, AirLive, generic RAM) with estimated USD price ranges — not sourced from the Anker or Joyroom wholesale lists, and not currency-matched to the rest of this workbook. RECOMMENDATION: they map cleanly onto the 'laptop/PC upgrade' Solution and 'SSD+RAM install' Service already drafted in catalog_readiness.xlsx (see Website Readiness sheet) — keep them for THAT purpose, get a real EG distributor quote in EGP before publishing any price, and drop the categories with no ByteHub use case today (mouse pads, generic wired mice/keyboards) unless there's a reason to carry them.</t>
  </si>
  <si>
    <t>Brand</t>
  </si>
  <si>
    <t>Est. Price (USD)</t>
  </si>
  <si>
    <t>Recommendation</t>
  </si>
  <si>
    <t>Soundcore R50i TWS Earbuds</t>
  </si>
  <si>
    <t>Soundcore/Anker</t>
  </si>
  <si>
    <t>Earbuds</t>
  </si>
  <si>
    <t>$25-35</t>
  </si>
  <si>
    <t>DUPLICATE — same product already exists as a real Anker SKU (A3969, RDP 880/RRP 1,099 EGP) on the Website Readiness sheet. Delete this generic USD entry; use the real one.</t>
  </si>
  <si>
    <t>Soundcore P20i TWS Earbuds</t>
  </si>
  <si>
    <t>$20-28</t>
  </si>
  <si>
    <t>Not found in the current Anker price list (17-Mar-2026) — either discontinued or needs a fresh RDP quote.</t>
  </si>
  <si>
    <t>Soundcore Liberty 5 ANC Earbuds</t>
  </si>
  <si>
    <t>Earbuds (Premium)</t>
  </si>
  <si>
    <t>$79-99</t>
  </si>
  <si>
    <t>Real match exists: Anker 'Liberty 5' A3957, RDP 4,350 / RRP 5,111 EGP — replace the USD estimate with this.</t>
  </si>
  <si>
    <t>Joyroom S-H153 USB-OTG Adapter</t>
  </si>
  <si>
    <t>Adapters</t>
  </si>
  <si>
    <t>$3-7</t>
  </si>
  <si>
    <t>Close relative exists in the Joyroom list (S-H152 USB-to-Type-C adapter, RDP 100/RRP 310 EGP) — confirm if S-H153 is a different SKU or a naming variant, then reprice in EGP.</t>
  </si>
  <si>
    <t>Kingston / Hikvision / Lexar / SanDisk USB flash drives (4 SKUs)</t>
  </si>
  <si>
    <t>Mixed</t>
  </si>
  <si>
    <t>USB Flash Drives</t>
  </si>
  <si>
    <t>$4-20</t>
  </si>
  <si>
    <t>No equivalent in Anker or Joyroom — genuinely new sourcing needed if ByteHub wants this category.</t>
  </si>
  <si>
    <t>Dell / HP wired keyboards (2 SKUs)</t>
  </si>
  <si>
    <t>Dell / HP</t>
  </si>
  <si>
    <t>Keyboards</t>
  </si>
  <si>
    <t>$5-14</t>
  </si>
  <si>
    <t>'Original Used' condition, no supplier link — low priority unless refurb/PC-upgrade line is a real focus.</t>
  </si>
  <si>
    <t>Wired mice — generic, Logitech B100 (2 SKUs)</t>
  </si>
  <si>
    <t>Dell/HP/Lenovo/Logitech</t>
  </si>
  <si>
    <t>Mice</t>
  </si>
  <si>
    <t>$3-12</t>
  </si>
  <si>
    <t>Same as above — low priority, no current supplier.</t>
  </si>
  <si>
    <t>Gaming mouse pads (2 SKUs)</t>
  </si>
  <si>
    <t>Havit / Wild Wolf</t>
  </si>
  <si>
    <t>Mouse Pads</t>
  </si>
  <si>
    <t>$3-8</t>
  </si>
  <si>
    <t>No clear tie to ByteHub's current Joyroom/Anker mobile-accessories focus — candidate to drop.</t>
  </si>
  <si>
    <t>Anker Zolo / Joyroom Mini Star power banks (2 SKUs)</t>
  </si>
  <si>
    <t>Anker / Joyroom</t>
  </si>
  <si>
    <t>Power Banks</t>
  </si>
  <si>
    <t>$22-40</t>
  </si>
  <si>
    <t>DUPLICATE — real SKUs already covered: Anker A110D (already in Avoid) and Joyroom JR-QP191 Mini (RDP 675/RRP 999 EGP, close cousin of the approved JR-QP192 Mini). Delete generic entries, use real ones.</t>
  </si>
  <si>
    <t>RAM — laptop/desktop DDR3/DDR3L/DDR4 (4 SKUs)</t>
  </si>
  <si>
    <t>Micron/Samsung/SK Hynix</t>
  </si>
  <si>
    <t>RAM</t>
  </si>
  <si>
    <t>$5-15</t>
  </si>
  <si>
    <t>Keep for the 'ذاكرة RAM' draft product on Website Readiness — needs an EGP quote before publishing.</t>
  </si>
  <si>
    <t>Crucial / Kingston / Lexar / PNY / WD SATA SSDs (5 SKUs)</t>
  </si>
  <si>
    <t>Internal SSD</t>
  </si>
  <si>
    <t>$20-60</t>
  </si>
  <si>
    <t>Keep for the 'قرص SSD SATA' draft product on Website Readiness — needs an EGP quote before publishing.</t>
  </si>
  <si>
    <t>AirLive USB Wi-Fi adapters (2 SKUs)</t>
  </si>
  <si>
    <t>AirLive</t>
  </si>
  <si>
    <t>Wi-Fi Adapters</t>
  </si>
  <si>
    <t>$6-15</t>
  </si>
  <si>
    <t>No tie to current product lines or drafts — candidate to drop unless a networking-accessories push is planned.</t>
  </si>
  <si>
    <t>Negotiation Playbook &amp; Success KPIs (condensed from the plan, unchanged)</t>
  </si>
  <si>
    <t>Ask</t>
  </si>
  <si>
    <t>Target</t>
  </si>
  <si>
    <t>Talking point</t>
  </si>
  <si>
    <t>Volume discount</t>
  </si>
  <si>
    <t>5-10% off orders &gt; 10,000 ج.م</t>
  </si>
  <si>
    <t>"We're planning a 30-40k initial order plus recurring monthly orders — what's your best price at that volume?"</t>
  </si>
  <si>
    <t>Free samples</t>
  </si>
  <si>
    <t>2-3 units of JR-FN3, JR-PR1, JR-JH1</t>
  </si>
  <si>
    <t>"We'd like to test 2-3 samples of new products before listing them — can these come free with the first order?"</t>
  </si>
  <si>
    <t>Payment terms</t>
  </si>
  <si>
    <t>Net 15-30 days</t>
  </si>
  <si>
    <t>"As a regular partner, can we agree to 15-day payment terms after delivery?"</t>
  </si>
  <si>
    <t>Marketing support</t>
  </si>
  <si>
    <t>Photos, videos, product copy</t>
  </si>
  <si>
    <t>"We're planning to actively market Joyroom in the Egyptian market — can you provide high-quality marketing assets?"</t>
  </si>
  <si>
    <t>Supply priority</t>
  </si>
  <si>
    <t>First access to new/high-demand SKUs</t>
  </si>
  <si>
    <t>"We'd like priority access to new and high-demand products, especially heading into peak seasons."</t>
  </si>
  <si>
    <t>Power-bank discount</t>
  </si>
  <si>
    <t>25-30% off (up from 18-22%)</t>
  </si>
  <si>
    <t>"Current power-bank pricing doesn't compete with other suppliers — improve the discount to 25% and we'll commit to larger, recurring orders."</t>
  </si>
  <si>
    <t>Lightning-cable repricing</t>
  </si>
  <si>
    <t>A8843 to 1,500-1,700 ج.م, or drop it</t>
  </si>
  <si>
    <t>"A8843 doesn't fit the Egyptian market — competitors sell similar products at half the price. Can pricing be reviewed?"</t>
  </si>
  <si>
    <t>Bundles</t>
  </si>
  <si>
    <t>Charger + cable bundle pricing</t>
  </si>
  <si>
    <t>"We'd like bundled charger + cable pricing to help drive larger order sizes."</t>
  </si>
  <si>
    <t>Warranty support</t>
  </si>
  <si>
    <t>14-day fast replacement</t>
  </si>
  <si>
    <t>"We're building our reputation on trust — please support fast replacement of defective units within 14 days."</t>
  </si>
  <si>
    <t>Quarterly review</t>
  </si>
  <si>
    <t>QBR on volume, pricing, new products</t>
  </si>
  <si>
    <t>"We'd like a quarterly meeting to review sales volume, pricing, and upcoming season planning."</t>
  </si>
  <si>
    <t>Success KPIs</t>
  </si>
  <si>
    <t>KPI</t>
  </si>
  <si>
    <t>How to measure</t>
  </si>
  <si>
    <t>Inventory turnover</t>
  </si>
  <si>
    <t>2-3x / month</t>
  </si>
  <si>
    <t>Units sold ÷ average inventory</t>
  </si>
  <si>
    <t>Stagnant stock</t>
  </si>
  <si>
    <t>&lt; 10%</t>
  </si>
  <si>
    <t>Products unsold after 30 days</t>
  </si>
  <si>
    <t>Gross margin</t>
  </si>
  <si>
    <t>&gt; 35%</t>
  </si>
  <si>
    <t>(Revenue - COGS) ÷ Revenue</t>
  </si>
  <si>
    <t>Order fulfilment time</t>
  </si>
  <si>
    <t>&lt; 48 hours</t>
  </si>
  <si>
    <t>Order received → delivered</t>
  </si>
  <si>
    <t>Customer satisfaction</t>
  </si>
  <si>
    <t>&gt; 4.5 / 5</t>
  </si>
  <si>
    <t>Customer ratings</t>
  </si>
  <si>
    <t>Note: the plan flags that all pricing should be re-checked monthly given FX volatility and supplier changes — the Anker sheet used here is dated 17-Mar-2026 and the Joyroom sheet 26-Jul-2026, so they are already ~4.5 months apart. Re-verify both before finalising any order.</t>
  </si>
  <si>
    <t>Joyroom JR-TCG13 GaN 45W charger</t>
  </si>
  <si>
    <t>Joyroom JR-TCF20 PD 20W Charger</t>
  </si>
  <si>
    <t xml:space="preserve"> The Joyroom S-A59 (Vibrant Series) 1.2 -meter Type-C to Type-C conversion</t>
  </si>
  <si>
    <t>Joyroom S-A42 Usb-A To Type-C 1.2m Cable Crystal-Clear 3A</t>
  </si>
  <si>
    <t>JR-QP192 Star Series Mini Power Bank 20000mAh, 22.5W Max Super Fast Charging, Digital Display, Compact &amp; Lightweight, Dual USB-C In/Out + USB-A - Black</t>
  </si>
  <si>
    <t>Joyroom JR-PBF12 10000mAh LED Power Bank 22.5W</t>
  </si>
  <si>
    <t>The Joyroom JR-T03S Standard Edition</t>
  </si>
  <si>
    <t>Anker A2149 PowerPort III 20W Cube PD USB-C Wall Charger</t>
  </si>
  <si>
    <t>Anker PowerLine  A8852 III USB-C to USB-C cable</t>
  </si>
  <si>
    <t>Joyroom JR-PR1 10000mAh Mini Power Bank - 22.5W</t>
  </si>
  <si>
    <t>JOYROOM JR-PBM01 20W Magnetic Wireless Power Bank 10000mAh with Built-in Cable &amp; Kickstand</t>
  </si>
  <si>
    <t>Joyroom JR-FN3 ANC+ENC True Wireless Bluetooth Earphones Funpods series</t>
  </si>
  <si>
    <t>Anker 735 Nano II 65W GaN 3-Port Wall Charger for MacBook</t>
  </si>
  <si>
    <t>Joyroom S-A60 StarTalk 100W USB-C Data and Charging Cable 1.2m</t>
  </si>
  <si>
    <t>Joyroom SA21-1T3 cable Speedy Series 100W 3-in 1 Fast Charging Cable (USB-A to L+C+M)</t>
  </si>
  <si>
    <t>Joyroom SA21-2T3 cable Speedy Series 100W 6-in 1 Fast Charging Cable (USB-A+Type C to L+C+M C to L+C+M)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</si>
</sst>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charset val="1"/>
    </font>
    <font>
      <b/>
      <sz val="18"/>
      <color rgb="FFFFFFFF"/>
      <name val="Arial"/>
      <charset val="1"/>
    </font>
    <font>
      <i/>
      <sz val="10"/>
      <color rgb="FF595959"/>
      <name val="Arial"/>
      <charset val="1"/>
    </font>
    <font>
      <b/>
      <sz val="12"/>
      <color rgb="FFC00000"/>
      <name val="Arial"/>
      <charset val="1"/>
    </font>
    <font>
      <b/>
      <sz val="10"/>
      <color rgb="FFC00000"/>
      <name val="Arial"/>
      <charset val="1"/>
    </font>
    <font>
      <sz val="10"/>
      <name val="Arial"/>
      <charset val="1"/>
    </font>
    <font>
      <b/>
      <sz val="12"/>
      <color rgb="FF1F3864"/>
      <name val="Arial"/>
      <charset val="1"/>
    </font>
    <font>
      <b/>
      <sz val="10"/>
      <color rgb="FFFFFFFF"/>
      <name val="Arial"/>
      <charset val="1"/>
    </font>
    <font>
      <b/>
      <sz val="10"/>
      <name val="Arial"/>
      <charset val="1"/>
    </font>
    <font>
      <b/>
      <sz val="14"/>
      <color rgb="FFFFFFFF"/>
      <name val="Arial"/>
      <charset val="1"/>
    </font>
    <font>
      <b/>
      <sz val="11"/>
      <color rgb="FFFFFFFF"/>
      <name val="Arial"/>
      <charset val="1"/>
    </font>
    <font>
      <i/>
      <sz val="10"/>
      <name val="Arial"/>
      <charset val="1"/>
    </font>
    <font>
      <b/>
      <sz val="11"/>
      <color rgb="FF1F3864"/>
      <name val="Arial"/>
      <charset val="1"/>
    </font>
    <font>
      <b/>
      <sz val="10"/>
      <name val="Arial"/>
      <family val="2"/>
    </font>
    <font>
      <sz val="10"/>
      <name val="Arial"/>
      <family val="2"/>
    </font>
  </fonts>
  <fills count="10">
    <fill>
      <patternFill patternType="none"/>
    </fill>
    <fill>
      <patternFill patternType="gray125"/>
    </fill>
    <fill>
      <patternFill patternType="solid">
        <fgColor rgb="FF1F3864"/>
        <bgColor rgb="FF333333"/>
      </patternFill>
    </fill>
    <fill>
      <patternFill patternType="solid">
        <fgColor rgb="FF2E5395"/>
        <bgColor rgb="FF1F3864"/>
      </patternFill>
    </fill>
    <fill>
      <patternFill patternType="solid">
        <fgColor rgb="FFD9E2F3"/>
        <bgColor rgb="FFF2F2F2"/>
      </patternFill>
    </fill>
    <fill>
      <patternFill patternType="solid">
        <fgColor rgb="FFF2F2F2"/>
        <bgColor rgb="FFFFFFFF"/>
      </patternFill>
    </fill>
    <fill>
      <patternFill patternType="solid">
        <fgColor rgb="FFFFFFFF"/>
        <bgColor rgb="FFF2F2F2"/>
      </patternFill>
    </fill>
    <fill>
      <patternFill patternType="solid">
        <fgColor rgb="FFFFF2CC"/>
        <bgColor rgb="FFF2F2F2"/>
      </patternFill>
    </fill>
    <fill>
      <patternFill patternType="solid">
        <fgColor rgb="FFF8CBAD"/>
        <bgColor rgb="FFFFF2CC"/>
      </patternFill>
    </fill>
    <fill>
      <patternFill patternType="solid">
        <fgColor rgb="FFC6E0B4"/>
        <b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7">
    <xf numFmtId="0" fontId="0" fillId="0" borderId="0" xfId="0"/>
    <xf numFmtId="0" fontId="12" fillId="0" borderId="0" xfId="0" applyFont="1"/>
    <xf numFmtId="0" fontId="5" fillId="0" borderId="0" xfId="0" applyFont="1" applyAlignment="1">
      <alignment vertical="top" wrapText="1"/>
    </xf>
    <xf numFmtId="0" fontId="4" fillId="0" borderId="0" xfId="0" applyFont="1"/>
    <xf numFmtId="0" fontId="7" fillId="3"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xf>
    <xf numFmtId="0" fontId="8" fillId="0" borderId="1" xfId="0" applyFont="1" applyBorder="1" applyAlignment="1">
      <alignment horizontal="center" vertical="center" wrapText="1"/>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164" fontId="5" fillId="0" borderId="1" xfId="0" applyNumberFormat="1" applyFont="1" applyBorder="1" applyAlignment="1">
      <alignment horizontal="center"/>
    </xf>
    <xf numFmtId="3" fontId="8" fillId="0" borderId="1" xfId="0" applyNumberFormat="1" applyFont="1" applyBorder="1" applyAlignment="1">
      <alignment horizontal="center"/>
    </xf>
    <xf numFmtId="0" fontId="5" fillId="5" borderId="1" xfId="0" applyFont="1" applyFill="1" applyBorder="1" applyAlignment="1">
      <alignment horizontal="center" vertical="center" wrapText="1"/>
    </xf>
    <xf numFmtId="0" fontId="5"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8" borderId="1" xfId="0" applyFont="1" applyFill="1" applyBorder="1" applyAlignment="1">
      <alignment horizontal="center" vertical="center" wrapText="1"/>
    </xf>
    <xf numFmtId="0" fontId="7" fillId="2" borderId="1" xfId="0" applyFont="1" applyFill="1" applyBorder="1"/>
    <xf numFmtId="3" fontId="10" fillId="2" borderId="1" xfId="0" applyNumberFormat="1" applyFont="1" applyFill="1" applyBorder="1"/>
    <xf numFmtId="3" fontId="7" fillId="2" borderId="1" xfId="0" applyNumberFormat="1" applyFont="1" applyFill="1" applyBorder="1"/>
    <xf numFmtId="0" fontId="5" fillId="0" borderId="1" xfId="0" applyFont="1" applyBorder="1" applyAlignment="1">
      <alignment horizontal="center"/>
    </xf>
    <xf numFmtId="0" fontId="10" fillId="2" borderId="1" xfId="0" applyFont="1" applyFill="1" applyBorder="1" applyAlignment="1">
      <alignment horizontal="center" vertical="center"/>
    </xf>
    <xf numFmtId="3" fontId="10" fillId="2" borderId="1" xfId="0" applyNumberFormat="1" applyFont="1" applyFill="1" applyBorder="1" applyAlignment="1">
      <alignment horizontal="center" vertical="center"/>
    </xf>
    <xf numFmtId="0" fontId="11" fillId="0" borderId="0" xfId="0" applyFont="1"/>
    <xf numFmtId="0" fontId="8" fillId="7" borderId="1" xfId="0" applyFont="1" applyFill="1" applyBorder="1" applyAlignment="1">
      <alignment horizontal="center" vertical="center"/>
    </xf>
    <xf numFmtId="3" fontId="5" fillId="7" borderId="1" xfId="0" applyNumberFormat="1" applyFont="1" applyFill="1" applyBorder="1" applyAlignment="1">
      <alignment horizontal="center" vertical="center"/>
    </xf>
    <xf numFmtId="0" fontId="5" fillId="7" borderId="1" xfId="0" applyFont="1" applyFill="1" applyBorder="1" applyAlignment="1">
      <alignment horizontal="center" vertical="center" wrapText="1"/>
    </xf>
    <xf numFmtId="3" fontId="5" fillId="0" borderId="1" xfId="0" applyNumberFormat="1" applyFont="1" applyBorder="1" applyAlignment="1">
      <alignment horizontal="center"/>
    </xf>
    <xf numFmtId="9" fontId="5" fillId="0" borderId="1" xfId="0" applyNumberFormat="1" applyFont="1" applyBorder="1" applyAlignment="1">
      <alignment horizontal="center"/>
    </xf>
    <xf numFmtId="0" fontId="8" fillId="8" borderId="1" xfId="0" applyFont="1" applyFill="1" applyBorder="1" applyAlignment="1">
      <alignment horizontal="center" vertical="center"/>
    </xf>
    <xf numFmtId="0" fontId="8" fillId="0" borderId="1" xfId="0" applyFont="1" applyBorder="1" applyAlignment="1">
      <alignment horizontal="center" vertical="center"/>
    </xf>
    <xf numFmtId="3" fontId="5" fillId="0" borderId="1" xfId="0" applyNumberFormat="1" applyFont="1" applyBorder="1" applyAlignment="1">
      <alignment horizontal="center" vertical="center"/>
    </xf>
    <xf numFmtId="0" fontId="5" fillId="4" borderId="1" xfId="0" applyFont="1" applyFill="1" applyBorder="1" applyAlignment="1">
      <alignment horizontal="center" vertical="center"/>
    </xf>
    <xf numFmtId="0" fontId="8" fillId="0" borderId="0" xfId="0" applyFont="1"/>
    <xf numFmtId="0" fontId="8" fillId="9" borderId="1" xfId="0" applyFont="1" applyFill="1" applyBorder="1" applyAlignment="1">
      <alignment horizontal="center" vertic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xf>
    <xf numFmtId="0" fontId="14" fillId="8" borderId="1" xfId="0" applyFont="1" applyFill="1" applyBorder="1" applyAlignment="1">
      <alignment horizontal="center" vertical="center" wrapText="1"/>
    </xf>
    <xf numFmtId="0" fontId="9" fillId="2" borderId="0" xfId="0" applyFont="1" applyFill="1" applyAlignment="1">
      <alignment horizontal="left" vertical="center" wrapText="1"/>
    </xf>
    <xf numFmtId="0" fontId="1" fillId="2" borderId="0" xfId="0" applyFont="1" applyFill="1" applyAlignment="1">
      <alignment horizontal="left" vertical="center" wrapText="1"/>
    </xf>
    <xf numFmtId="0" fontId="2" fillId="0" borderId="0" xfId="0" applyFont="1" applyAlignment="1">
      <alignment vertical="center" wrapText="1"/>
    </xf>
    <xf numFmtId="0" fontId="3" fillId="0" borderId="0" xfId="0" applyFont="1"/>
    <xf numFmtId="0" fontId="6" fillId="0" borderId="0" xfId="0" applyFont="1"/>
    <xf numFmtId="0" fontId="5" fillId="0" borderId="0" xfId="0" applyFont="1" applyAlignment="1">
      <alignment vertical="top" wrapText="1"/>
    </xf>
    <xf numFmtId="0" fontId="11" fillId="0" borderId="0" xfId="0" applyFont="1" applyAlignment="1">
      <alignment vertical="top" wrapText="1"/>
    </xf>
    <xf numFmtId="0" fontId="11" fillId="0" borderId="0" xfId="0" applyFont="1" applyAlignment="1">
      <alignment wrapText="1"/>
    </xf>
    <xf numFmtId="0" fontId="1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5"/>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8.7109375" defaultRowHeight="15" x14ac:dyDescent="0.25"/>
  <cols>
    <col min="1" max="1" width="3" customWidth="1"/>
    <col min="2" max="2" width="34" customWidth="1"/>
    <col min="3" max="3" width="70" customWidth="1"/>
    <col min="4" max="4" width="3" customWidth="1"/>
  </cols>
  <sheetData>
    <row r="2" spans="2:3" ht="30" customHeight="1" x14ac:dyDescent="0.25">
      <c r="B2" s="39" t="s">
        <v>0</v>
      </c>
      <c r="C2" s="39"/>
    </row>
    <row r="3" spans="2:3" ht="27.75" customHeight="1" x14ac:dyDescent="0.25">
      <c r="B3" s="40" t="s">
        <v>1</v>
      </c>
      <c r="C3" s="40"/>
    </row>
    <row r="5" spans="2:3" ht="15.75" x14ac:dyDescent="0.25">
      <c r="B5" s="41" t="s">
        <v>2</v>
      </c>
      <c r="C5" s="41"/>
    </row>
    <row r="6" spans="2:3" ht="60" customHeight="1" x14ac:dyDescent="0.25">
      <c r="B6" s="3" t="s">
        <v>3</v>
      </c>
      <c r="C6" s="2" t="s">
        <v>4</v>
      </c>
    </row>
    <row r="8" spans="2:3" ht="60" customHeight="1" x14ac:dyDescent="0.25">
      <c r="B8" s="3" t="s">
        <v>3</v>
      </c>
      <c r="C8" s="2" t="s">
        <v>5</v>
      </c>
    </row>
    <row r="10" spans="2:3" ht="60" customHeight="1" x14ac:dyDescent="0.25">
      <c r="B10" s="3" t="s">
        <v>3</v>
      </c>
      <c r="C10" s="2" t="s">
        <v>6</v>
      </c>
    </row>
    <row r="12" spans="2:3" ht="60" customHeight="1" x14ac:dyDescent="0.25">
      <c r="B12" s="3" t="s">
        <v>3</v>
      </c>
      <c r="C12" s="2" t="s">
        <v>7</v>
      </c>
    </row>
    <row r="15" spans="2:3" ht="15.75" x14ac:dyDescent="0.25">
      <c r="B15" s="42" t="s">
        <v>8</v>
      </c>
      <c r="C15" s="42"/>
    </row>
    <row r="16" spans="2:3" x14ac:dyDescent="0.25">
      <c r="B16" s="4" t="s">
        <v>9</v>
      </c>
      <c r="C16" s="4" t="s">
        <v>10</v>
      </c>
    </row>
    <row r="17" spans="2:3" ht="27.75" customHeight="1" x14ac:dyDescent="0.25">
      <c r="B17" s="5" t="s">
        <v>11</v>
      </c>
      <c r="C17" s="6" t="s">
        <v>12</v>
      </c>
    </row>
    <row r="18" spans="2:3" ht="27.75" customHeight="1" x14ac:dyDescent="0.25">
      <c r="B18" s="5" t="s">
        <v>13</v>
      </c>
      <c r="C18" s="6" t="s">
        <v>14</v>
      </c>
    </row>
    <row r="19" spans="2:3" ht="27.75" customHeight="1" x14ac:dyDescent="0.25">
      <c r="B19" s="5" t="s">
        <v>15</v>
      </c>
      <c r="C19" s="6" t="s">
        <v>16</v>
      </c>
    </row>
    <row r="20" spans="2:3" ht="27.75" customHeight="1" x14ac:dyDescent="0.25">
      <c r="B20" s="5" t="s">
        <v>17</v>
      </c>
      <c r="C20" s="6" t="s">
        <v>18</v>
      </c>
    </row>
    <row r="21" spans="2:3" ht="27.75" customHeight="1" x14ac:dyDescent="0.25">
      <c r="B21" s="5" t="s">
        <v>19</v>
      </c>
      <c r="C21" s="6" t="s">
        <v>20</v>
      </c>
    </row>
    <row r="22" spans="2:3" ht="27.75" customHeight="1" x14ac:dyDescent="0.25">
      <c r="B22" s="5" t="s">
        <v>21</v>
      </c>
      <c r="C22" s="6" t="s">
        <v>22</v>
      </c>
    </row>
    <row r="23" spans="2:3" ht="27.75" customHeight="1" x14ac:dyDescent="0.25">
      <c r="B23" s="5" t="s">
        <v>23</v>
      </c>
      <c r="C23" s="6" t="s">
        <v>24</v>
      </c>
    </row>
    <row r="24" spans="2:3" ht="27.75" customHeight="1" x14ac:dyDescent="0.25">
      <c r="B24" s="5" t="s">
        <v>25</v>
      </c>
      <c r="C24" s="6" t="s">
        <v>26</v>
      </c>
    </row>
    <row r="25" spans="2:3" ht="27.75" customHeight="1" x14ac:dyDescent="0.25">
      <c r="B25" s="5" t="s">
        <v>27</v>
      </c>
      <c r="C25" s="6" t="s">
        <v>28</v>
      </c>
    </row>
  </sheetData>
  <mergeCells count="4">
    <mergeCell ref="B2:C2"/>
    <mergeCell ref="B3:C3"/>
    <mergeCell ref="B5:C5"/>
    <mergeCell ref="B15:C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
  <sheetViews>
    <sheetView showGridLines="0" zoomScaleNormal="100" workbookViewId="0">
      <pane ySplit="2" topLeftCell="A3" activePane="bottomLeft" state="frozen"/>
      <selection pane="bottomLeft" activeCell="F14" sqref="F14"/>
    </sheetView>
  </sheetViews>
  <sheetFormatPr defaultColWidth="8.7109375" defaultRowHeight="15" x14ac:dyDescent="0.25"/>
  <cols>
    <col min="1" max="1" width="4" customWidth="1"/>
    <col min="2" max="2" width="26" customWidth="1"/>
    <col min="3" max="3" width="14" customWidth="1"/>
    <col min="4" max="4" width="10" customWidth="1"/>
    <col min="5" max="5" width="16" customWidth="1"/>
    <col min="6" max="6" width="12" customWidth="1"/>
    <col min="7" max="7" width="13" customWidth="1"/>
    <col min="8" max="8" width="12" customWidth="1"/>
    <col min="9" max="9" width="14" customWidth="1"/>
    <col min="10" max="10" width="11" customWidth="1"/>
    <col min="11" max="11" width="6" customWidth="1"/>
    <col min="12" max="12" width="14" customWidth="1"/>
    <col min="13" max="13" width="46" customWidth="1"/>
  </cols>
  <sheetData>
    <row r="1" spans="1:13" ht="24" customHeight="1" x14ac:dyDescent="0.25">
      <c r="A1" s="38" t="s">
        <v>29</v>
      </c>
      <c r="B1" s="38"/>
      <c r="C1" s="38"/>
      <c r="D1" s="38"/>
      <c r="E1" s="38"/>
      <c r="F1" s="38"/>
      <c r="G1" s="38"/>
      <c r="H1" s="38"/>
      <c r="I1" s="38"/>
      <c r="J1" s="38"/>
      <c r="K1" s="38"/>
      <c r="L1" s="38"/>
      <c r="M1" s="38"/>
    </row>
    <row r="2" spans="1:13" ht="30" customHeight="1" x14ac:dyDescent="0.25">
      <c r="A2" s="4" t="s">
        <v>30</v>
      </c>
      <c r="B2" s="4" t="s">
        <v>31</v>
      </c>
      <c r="C2" s="4" t="s">
        <v>32</v>
      </c>
      <c r="D2" s="4" t="s">
        <v>33</v>
      </c>
      <c r="E2" s="4" t="s">
        <v>34</v>
      </c>
      <c r="F2" s="4" t="s">
        <v>35</v>
      </c>
      <c r="G2" s="4" t="s">
        <v>36</v>
      </c>
      <c r="H2" s="4" t="s">
        <v>37</v>
      </c>
      <c r="I2" s="4" t="s">
        <v>38</v>
      </c>
      <c r="J2" s="4" t="s">
        <v>39</v>
      </c>
      <c r="K2" s="4" t="s">
        <v>40</v>
      </c>
      <c r="L2" s="4" t="s">
        <v>41</v>
      </c>
      <c r="M2" s="4" t="s">
        <v>42</v>
      </c>
    </row>
    <row r="3" spans="1:13" ht="45.75" customHeight="1" x14ac:dyDescent="0.25">
      <c r="A3" s="7">
        <v>1</v>
      </c>
      <c r="B3" s="8" t="s">
        <v>359</v>
      </c>
      <c r="C3" s="9" t="s">
        <v>43</v>
      </c>
      <c r="D3" s="9" t="s">
        <v>44</v>
      </c>
      <c r="E3" s="9" t="s">
        <v>45</v>
      </c>
      <c r="F3" s="10">
        <v>440</v>
      </c>
      <c r="G3" s="10">
        <v>440</v>
      </c>
      <c r="H3" s="9">
        <v>750</v>
      </c>
      <c r="I3" s="9" t="s">
        <v>46</v>
      </c>
      <c r="J3" s="11">
        <f t="shared" ref="J3:J11" si="0">IFERROR((H3-G3)/H3,"")</f>
        <v>0.41333333333333333</v>
      </c>
      <c r="K3" s="9">
        <v>30</v>
      </c>
      <c r="L3" s="12">
        <f t="shared" ref="L3:L11" si="1">IFERROR(K3*G3,"see notes")</f>
        <v>13200</v>
      </c>
      <c r="M3" s="13" t="s">
        <v>47</v>
      </c>
    </row>
    <row r="4" spans="1:13" ht="45.75" customHeight="1" x14ac:dyDescent="0.25">
      <c r="A4" s="7">
        <v>2</v>
      </c>
      <c r="B4" s="8" t="s">
        <v>360</v>
      </c>
      <c r="C4" s="9" t="s">
        <v>43</v>
      </c>
      <c r="D4" s="9" t="s">
        <v>44</v>
      </c>
      <c r="E4" s="9" t="s">
        <v>48</v>
      </c>
      <c r="F4" s="10">
        <v>290</v>
      </c>
      <c r="G4" s="10">
        <v>290</v>
      </c>
      <c r="H4" s="9">
        <v>550</v>
      </c>
      <c r="I4" s="9" t="s">
        <v>49</v>
      </c>
      <c r="J4" s="11">
        <f t="shared" si="0"/>
        <v>0.47272727272727272</v>
      </c>
      <c r="K4" s="9">
        <v>25</v>
      </c>
      <c r="L4" s="12">
        <f t="shared" si="1"/>
        <v>7250</v>
      </c>
      <c r="M4" s="13" t="s">
        <v>47</v>
      </c>
    </row>
    <row r="5" spans="1:13" ht="45.75" customHeight="1" x14ac:dyDescent="0.25">
      <c r="A5" s="7">
        <v>3</v>
      </c>
      <c r="B5" s="8" t="s">
        <v>361</v>
      </c>
      <c r="C5" s="9" t="s">
        <v>50</v>
      </c>
      <c r="D5" s="9" t="s">
        <v>44</v>
      </c>
      <c r="E5" s="9" t="s">
        <v>51</v>
      </c>
      <c r="F5" s="10">
        <v>120</v>
      </c>
      <c r="G5" s="10">
        <v>120</v>
      </c>
      <c r="H5" s="9">
        <v>325</v>
      </c>
      <c r="I5" s="9" t="s">
        <v>52</v>
      </c>
      <c r="J5" s="11">
        <f t="shared" si="0"/>
        <v>0.63076923076923075</v>
      </c>
      <c r="K5" s="9">
        <v>50</v>
      </c>
      <c r="L5" s="12">
        <f t="shared" si="1"/>
        <v>6000</v>
      </c>
      <c r="M5" s="13" t="s">
        <v>53</v>
      </c>
    </row>
    <row r="6" spans="1:13" ht="45.75" customHeight="1" x14ac:dyDescent="0.25">
      <c r="A6" s="7">
        <v>4</v>
      </c>
      <c r="B6" s="8" t="s">
        <v>362</v>
      </c>
      <c r="C6" s="9" t="s">
        <v>50</v>
      </c>
      <c r="D6" s="9" t="s">
        <v>44</v>
      </c>
      <c r="E6" s="9" t="s">
        <v>54</v>
      </c>
      <c r="F6" s="10">
        <v>165</v>
      </c>
      <c r="G6" s="10">
        <v>165</v>
      </c>
      <c r="H6" s="9">
        <v>375</v>
      </c>
      <c r="I6" s="9" t="s">
        <v>55</v>
      </c>
      <c r="J6" s="11">
        <f t="shared" si="0"/>
        <v>0.56000000000000005</v>
      </c>
      <c r="K6" s="9">
        <v>30</v>
      </c>
      <c r="L6" s="12">
        <f t="shared" si="1"/>
        <v>4950</v>
      </c>
      <c r="M6" s="13" t="s">
        <v>56</v>
      </c>
    </row>
    <row r="7" spans="1:13" ht="45.75" customHeight="1" x14ac:dyDescent="0.25">
      <c r="A7" s="7">
        <v>5</v>
      </c>
      <c r="B7" s="35" t="s">
        <v>364</v>
      </c>
      <c r="C7" s="9" t="s">
        <v>57</v>
      </c>
      <c r="D7" s="9" t="s">
        <v>44</v>
      </c>
      <c r="E7" s="9" t="s">
        <v>58</v>
      </c>
      <c r="F7" s="10">
        <v>420</v>
      </c>
      <c r="G7" s="10">
        <v>420</v>
      </c>
      <c r="H7" s="9">
        <v>730</v>
      </c>
      <c r="I7" s="9" t="s">
        <v>59</v>
      </c>
      <c r="J7" s="11">
        <f t="shared" si="0"/>
        <v>0.42465753424657532</v>
      </c>
      <c r="K7" s="9">
        <v>20</v>
      </c>
      <c r="L7" s="12">
        <f t="shared" si="1"/>
        <v>8400</v>
      </c>
      <c r="M7" s="13" t="s">
        <v>47</v>
      </c>
    </row>
    <row r="8" spans="1:13" ht="45.75" customHeight="1" x14ac:dyDescent="0.25">
      <c r="A8" s="7">
        <v>6</v>
      </c>
      <c r="B8" s="35" t="s">
        <v>363</v>
      </c>
      <c r="C8" s="9" t="s">
        <v>57</v>
      </c>
      <c r="D8" s="9" t="s">
        <v>44</v>
      </c>
      <c r="E8" s="9" t="s">
        <v>60</v>
      </c>
      <c r="F8" s="10">
        <v>925</v>
      </c>
      <c r="G8" s="10">
        <v>925</v>
      </c>
      <c r="H8" s="9">
        <v>1350</v>
      </c>
      <c r="I8" s="9" t="s">
        <v>61</v>
      </c>
      <c r="J8" s="11">
        <f t="shared" si="0"/>
        <v>0.31481481481481483</v>
      </c>
      <c r="K8" s="9">
        <v>15</v>
      </c>
      <c r="L8" s="12">
        <f t="shared" si="1"/>
        <v>13875</v>
      </c>
      <c r="M8" s="13" t="s">
        <v>47</v>
      </c>
    </row>
    <row r="9" spans="1:13" ht="45.75" customHeight="1" x14ac:dyDescent="0.25">
      <c r="A9" s="7">
        <v>7</v>
      </c>
      <c r="B9" s="35" t="s">
        <v>365</v>
      </c>
      <c r="C9" s="9" t="s">
        <v>62</v>
      </c>
      <c r="D9" s="9" t="s">
        <v>44</v>
      </c>
      <c r="E9" s="36" t="s">
        <v>63</v>
      </c>
      <c r="F9" s="10">
        <v>600</v>
      </c>
      <c r="G9" s="10">
        <v>600</v>
      </c>
      <c r="H9" s="9">
        <v>999</v>
      </c>
      <c r="I9" s="9" t="s">
        <v>64</v>
      </c>
      <c r="J9" s="11">
        <f t="shared" si="0"/>
        <v>0.39939939939939939</v>
      </c>
      <c r="K9" s="9">
        <v>20</v>
      </c>
      <c r="L9" s="12">
        <f t="shared" si="1"/>
        <v>12000</v>
      </c>
      <c r="M9" s="13" t="s">
        <v>47</v>
      </c>
    </row>
    <row r="10" spans="1:13" ht="45.75" customHeight="1" x14ac:dyDescent="0.25">
      <c r="A10" s="7">
        <v>8</v>
      </c>
      <c r="B10" s="35" t="s">
        <v>366</v>
      </c>
      <c r="C10" s="9" t="s">
        <v>43</v>
      </c>
      <c r="D10" s="9" t="s">
        <v>65</v>
      </c>
      <c r="E10" s="36" t="s">
        <v>66</v>
      </c>
      <c r="F10" s="10">
        <v>360</v>
      </c>
      <c r="G10" s="10">
        <v>360</v>
      </c>
      <c r="H10" s="9">
        <v>475</v>
      </c>
      <c r="I10" s="9" t="s">
        <v>67</v>
      </c>
      <c r="J10" s="11">
        <f t="shared" si="0"/>
        <v>0.24210526315789474</v>
      </c>
      <c r="K10" s="9">
        <v>20</v>
      </c>
      <c r="L10" s="12">
        <f t="shared" si="1"/>
        <v>7200</v>
      </c>
      <c r="M10" s="13" t="s">
        <v>68</v>
      </c>
    </row>
    <row r="11" spans="1:13" ht="45.75" customHeight="1" x14ac:dyDescent="0.25">
      <c r="A11" s="7">
        <v>9</v>
      </c>
      <c r="B11" s="35" t="s">
        <v>367</v>
      </c>
      <c r="C11" s="9" t="s">
        <v>50</v>
      </c>
      <c r="D11" s="9" t="s">
        <v>65</v>
      </c>
      <c r="E11" s="36" t="s">
        <v>69</v>
      </c>
      <c r="F11" s="14">
        <v>280</v>
      </c>
      <c r="G11" s="15">
        <v>460</v>
      </c>
      <c r="H11" s="9">
        <v>577</v>
      </c>
      <c r="I11" s="9" t="s">
        <v>70</v>
      </c>
      <c r="J11" s="11">
        <f t="shared" si="0"/>
        <v>0.2027729636048527</v>
      </c>
      <c r="K11" s="9">
        <v>20</v>
      </c>
      <c r="L11" s="12">
        <f t="shared" si="1"/>
        <v>9200</v>
      </c>
      <c r="M11" s="16" t="s">
        <v>71</v>
      </c>
    </row>
    <row r="12" spans="1:13" x14ac:dyDescent="0.25">
      <c r="K12" s="17" t="s">
        <v>72</v>
      </c>
      <c r="L12" s="18">
        <f>SUM(L3:L11)</f>
        <v>82075</v>
      </c>
    </row>
  </sheetData>
  <mergeCells count="1">
    <mergeCell ref="A1:M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tabSelected="1" zoomScaleNormal="100" workbookViewId="0">
      <pane ySplit="2" topLeftCell="A3" activePane="bottomLeft" state="frozen"/>
      <selection pane="bottomLeft" activeCell="A10" sqref="A10:XFD10"/>
    </sheetView>
  </sheetViews>
  <sheetFormatPr defaultColWidth="8.7109375" defaultRowHeight="15" x14ac:dyDescent="0.25"/>
  <cols>
    <col min="1" max="1" width="4" customWidth="1"/>
    <col min="2" max="2" width="26" customWidth="1"/>
    <col min="3" max="3" width="14" customWidth="1"/>
    <col min="4" max="4" width="10" customWidth="1"/>
    <col min="5" max="5" width="16" customWidth="1"/>
    <col min="6" max="6" width="12" customWidth="1"/>
    <col min="7" max="7" width="13" customWidth="1"/>
    <col min="8" max="8" width="12" customWidth="1"/>
    <col min="9" max="9" width="14" customWidth="1"/>
    <col min="10" max="10" width="11" customWidth="1"/>
    <col min="11" max="11" width="6" customWidth="1"/>
    <col min="12" max="12" width="14" customWidth="1"/>
    <col min="13" max="13" width="46" customWidth="1"/>
  </cols>
  <sheetData>
    <row r="1" spans="1:13" ht="24" customHeight="1" x14ac:dyDescent="0.25">
      <c r="A1" s="38" t="s">
        <v>73</v>
      </c>
      <c r="B1" s="38"/>
      <c r="C1" s="38"/>
      <c r="D1" s="38"/>
      <c r="E1" s="38"/>
      <c r="F1" s="38"/>
      <c r="G1" s="38"/>
      <c r="H1" s="38"/>
      <c r="I1" s="38"/>
      <c r="J1" s="38"/>
      <c r="K1" s="38"/>
      <c r="L1" s="38"/>
      <c r="M1" s="38"/>
    </row>
    <row r="2" spans="1:13" ht="30" customHeight="1" x14ac:dyDescent="0.25">
      <c r="A2" s="4" t="s">
        <v>30</v>
      </c>
      <c r="B2" s="4" t="s">
        <v>31</v>
      </c>
      <c r="C2" s="4" t="s">
        <v>32</v>
      </c>
      <c r="D2" s="4" t="s">
        <v>33</v>
      </c>
      <c r="E2" s="4" t="s">
        <v>34</v>
      </c>
      <c r="F2" s="4" t="s">
        <v>35</v>
      </c>
      <c r="G2" s="4" t="s">
        <v>36</v>
      </c>
      <c r="H2" s="4" t="s">
        <v>37</v>
      </c>
      <c r="I2" s="4" t="s">
        <v>38</v>
      </c>
      <c r="J2" s="4" t="s">
        <v>39</v>
      </c>
      <c r="K2" s="4" t="s">
        <v>40</v>
      </c>
      <c r="L2" s="4" t="s">
        <v>41</v>
      </c>
      <c r="M2" s="4" t="s">
        <v>42</v>
      </c>
    </row>
    <row r="3" spans="1:13" ht="45.75" customHeight="1" x14ac:dyDescent="0.25">
      <c r="A3" s="7">
        <v>1</v>
      </c>
      <c r="B3" s="35" t="s">
        <v>373</v>
      </c>
      <c r="C3" s="9" t="s">
        <v>50</v>
      </c>
      <c r="D3" s="9" t="s">
        <v>44</v>
      </c>
      <c r="E3" s="36" t="s">
        <v>74</v>
      </c>
      <c r="F3" s="14">
        <v>265</v>
      </c>
      <c r="G3" s="15">
        <v>265</v>
      </c>
      <c r="H3" s="9">
        <v>525</v>
      </c>
      <c r="I3" s="9" t="s">
        <v>75</v>
      </c>
      <c r="J3" s="11">
        <f t="shared" ref="J3:J9" si="0">IFERROR((H3-G3)/H3,"")</f>
        <v>0.49523809523809526</v>
      </c>
      <c r="K3" s="9">
        <v>10</v>
      </c>
      <c r="L3" s="12">
        <f t="shared" ref="L3:L9" si="1">IFERROR(K3*G3,"see notes")</f>
        <v>2650</v>
      </c>
      <c r="M3" s="16" t="s">
        <v>76</v>
      </c>
    </row>
    <row r="4" spans="1:13" ht="45.75" customHeight="1" x14ac:dyDescent="0.25">
      <c r="A4" s="7">
        <v>2</v>
      </c>
      <c r="B4" s="35" t="s">
        <v>374</v>
      </c>
      <c r="C4" s="9" t="s">
        <v>50</v>
      </c>
      <c r="D4" s="9" t="s">
        <v>44</v>
      </c>
      <c r="E4" s="36" t="s">
        <v>77</v>
      </c>
      <c r="F4" s="10">
        <v>495</v>
      </c>
      <c r="G4" s="10">
        <v>495</v>
      </c>
      <c r="H4" s="9">
        <v>790</v>
      </c>
      <c r="I4" s="9" t="s">
        <v>78</v>
      </c>
      <c r="J4" s="11">
        <f t="shared" si="0"/>
        <v>0.37341772151898733</v>
      </c>
      <c r="K4" s="9">
        <v>8</v>
      </c>
      <c r="L4" s="12">
        <f t="shared" si="1"/>
        <v>3960</v>
      </c>
      <c r="M4" s="13" t="s">
        <v>47</v>
      </c>
    </row>
    <row r="5" spans="1:13" ht="45.75" customHeight="1" x14ac:dyDescent="0.25">
      <c r="A5" s="7">
        <v>3</v>
      </c>
      <c r="B5" s="35" t="s">
        <v>368</v>
      </c>
      <c r="C5" s="9" t="s">
        <v>57</v>
      </c>
      <c r="D5" s="9" t="s">
        <v>44</v>
      </c>
      <c r="E5" s="36" t="s">
        <v>79</v>
      </c>
      <c r="F5" s="14">
        <v>990</v>
      </c>
      <c r="G5" s="15">
        <v>990</v>
      </c>
      <c r="H5" s="9">
        <v>1399</v>
      </c>
      <c r="I5" s="9" t="s">
        <v>80</v>
      </c>
      <c r="J5" s="11">
        <f t="shared" si="0"/>
        <v>0.29235167977126519</v>
      </c>
      <c r="K5" s="9">
        <v>5</v>
      </c>
      <c r="L5" s="12">
        <f t="shared" si="1"/>
        <v>4950</v>
      </c>
      <c r="M5" s="37" t="s">
        <v>81</v>
      </c>
    </row>
    <row r="6" spans="1:13" ht="45.75" customHeight="1" x14ac:dyDescent="0.25">
      <c r="A6" s="7">
        <v>4</v>
      </c>
      <c r="B6" s="35" t="s">
        <v>369</v>
      </c>
      <c r="C6" s="9" t="s">
        <v>57</v>
      </c>
      <c r="D6" s="9" t="s">
        <v>44</v>
      </c>
      <c r="E6" s="36" t="s">
        <v>82</v>
      </c>
      <c r="F6" s="10">
        <v>1100</v>
      </c>
      <c r="G6" s="10">
        <v>1100</v>
      </c>
      <c r="H6" s="9">
        <v>1500</v>
      </c>
      <c r="I6" s="9" t="s">
        <v>83</v>
      </c>
      <c r="J6" s="11">
        <f t="shared" si="0"/>
        <v>0.26666666666666666</v>
      </c>
      <c r="K6" s="9">
        <v>5</v>
      </c>
      <c r="L6" s="12">
        <f t="shared" si="1"/>
        <v>5500</v>
      </c>
      <c r="M6" s="13" t="s">
        <v>47</v>
      </c>
    </row>
    <row r="7" spans="1:13" ht="45.75" customHeight="1" x14ac:dyDescent="0.25">
      <c r="A7" s="7">
        <v>5</v>
      </c>
      <c r="B7" s="35" t="s">
        <v>370</v>
      </c>
      <c r="C7" s="9" t="s">
        <v>62</v>
      </c>
      <c r="D7" s="9" t="s">
        <v>44</v>
      </c>
      <c r="E7" s="36" t="s">
        <v>84</v>
      </c>
      <c r="F7" s="10">
        <v>925</v>
      </c>
      <c r="G7" s="10">
        <v>925</v>
      </c>
      <c r="H7" s="9">
        <v>1400</v>
      </c>
      <c r="I7" s="9" t="s">
        <v>85</v>
      </c>
      <c r="J7" s="11">
        <f t="shared" si="0"/>
        <v>0.3392857142857143</v>
      </c>
      <c r="K7" s="9">
        <v>8</v>
      </c>
      <c r="L7" s="12">
        <f t="shared" si="1"/>
        <v>7400</v>
      </c>
      <c r="M7" s="13" t="s">
        <v>47</v>
      </c>
    </row>
    <row r="8" spans="1:13" ht="45.75" customHeight="1" x14ac:dyDescent="0.25">
      <c r="A8" s="7">
        <v>6</v>
      </c>
      <c r="B8" s="35" t="s">
        <v>371</v>
      </c>
      <c r="C8" s="9" t="s">
        <v>43</v>
      </c>
      <c r="D8" s="9" t="s">
        <v>65</v>
      </c>
      <c r="E8" s="36" t="s">
        <v>86</v>
      </c>
      <c r="F8" s="14">
        <v>830</v>
      </c>
      <c r="G8" s="15">
        <v>1665</v>
      </c>
      <c r="H8" s="9">
        <v>1995</v>
      </c>
      <c r="I8" s="9" t="s">
        <v>87</v>
      </c>
      <c r="J8" s="11">
        <f t="shared" si="0"/>
        <v>0.16541353383458646</v>
      </c>
      <c r="K8" s="9">
        <v>5</v>
      </c>
      <c r="L8" s="12">
        <f t="shared" si="1"/>
        <v>8325</v>
      </c>
      <c r="M8" s="16" t="s">
        <v>88</v>
      </c>
    </row>
    <row r="9" spans="1:13" ht="45.75" customHeight="1" x14ac:dyDescent="0.25">
      <c r="A9" s="7">
        <v>7</v>
      </c>
      <c r="B9" s="35" t="s">
        <v>372</v>
      </c>
      <c r="C9" s="9" t="s">
        <v>50</v>
      </c>
      <c r="D9" s="9" t="s">
        <v>44</v>
      </c>
      <c r="E9" s="36" t="s">
        <v>89</v>
      </c>
      <c r="F9" s="10">
        <v>185</v>
      </c>
      <c r="G9" s="10">
        <v>185</v>
      </c>
      <c r="H9" s="9">
        <v>450</v>
      </c>
      <c r="I9" s="9" t="s">
        <v>90</v>
      </c>
      <c r="J9" s="11">
        <f t="shared" si="0"/>
        <v>0.58888888888888891</v>
      </c>
      <c r="K9" s="9">
        <v>15</v>
      </c>
      <c r="L9" s="12">
        <f t="shared" si="1"/>
        <v>2775</v>
      </c>
      <c r="M9" s="13" t="s">
        <v>47</v>
      </c>
    </row>
    <row r="10" spans="1:13" x14ac:dyDescent="0.25">
      <c r="K10" s="17" t="s">
        <v>72</v>
      </c>
      <c r="L10" s="18">
        <f>SUM(L3:L9)</f>
        <v>35560</v>
      </c>
    </row>
  </sheetData>
  <mergeCells count="1">
    <mergeCell ref="A1:M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
  <sheetViews>
    <sheetView showGridLines="0" zoomScaleNormal="100" workbookViewId="0">
      <pane ySplit="2" topLeftCell="A3" activePane="bottomLeft" state="frozen"/>
      <selection pane="bottomLeft"/>
    </sheetView>
  </sheetViews>
  <sheetFormatPr defaultColWidth="8.7109375" defaultRowHeight="15" x14ac:dyDescent="0.25"/>
  <cols>
    <col min="1" max="1" width="4" customWidth="1"/>
    <col min="2" max="2" width="26" customWidth="1"/>
    <col min="3" max="3" width="14" customWidth="1"/>
    <col min="4" max="4" width="10" customWidth="1"/>
    <col min="5" max="5" width="16" customWidth="1"/>
    <col min="6" max="6" width="12" customWidth="1"/>
    <col min="7" max="7" width="13" customWidth="1"/>
    <col min="8" max="8" width="12" customWidth="1"/>
    <col min="9" max="9" width="14" customWidth="1"/>
    <col min="10" max="10" width="11" customWidth="1"/>
    <col min="11" max="11" width="6" customWidth="1"/>
    <col min="12" max="12" width="14" customWidth="1"/>
    <col min="13" max="13" width="46" customWidth="1"/>
  </cols>
  <sheetData>
    <row r="1" spans="1:13" ht="24" customHeight="1" x14ac:dyDescent="0.25">
      <c r="A1" s="38" t="s">
        <v>91</v>
      </c>
      <c r="B1" s="38"/>
      <c r="C1" s="38"/>
      <c r="D1" s="38"/>
      <c r="E1" s="38"/>
      <c r="F1" s="38"/>
      <c r="G1" s="38"/>
      <c r="H1" s="38"/>
      <c r="I1" s="38"/>
      <c r="J1" s="38"/>
      <c r="K1" s="38"/>
      <c r="L1" s="38"/>
      <c r="M1" s="38"/>
    </row>
    <row r="2" spans="1:13" ht="30" customHeight="1" x14ac:dyDescent="0.25">
      <c r="A2" s="4" t="s">
        <v>30</v>
      </c>
      <c r="B2" s="4" t="s">
        <v>31</v>
      </c>
      <c r="C2" s="4" t="s">
        <v>32</v>
      </c>
      <c r="D2" s="4" t="s">
        <v>33</v>
      </c>
      <c r="E2" s="4" t="s">
        <v>34</v>
      </c>
      <c r="F2" s="4" t="s">
        <v>35</v>
      </c>
      <c r="G2" s="4" t="s">
        <v>36</v>
      </c>
      <c r="H2" s="4" t="s">
        <v>37</v>
      </c>
      <c r="I2" s="4" t="s">
        <v>38</v>
      </c>
      <c r="J2" s="4" t="s">
        <v>39</v>
      </c>
      <c r="K2" s="4" t="s">
        <v>40</v>
      </c>
      <c r="L2" s="4" t="s">
        <v>41</v>
      </c>
      <c r="M2" s="4" t="s">
        <v>42</v>
      </c>
    </row>
    <row r="3" spans="1:13" ht="45.75" customHeight="1" x14ac:dyDescent="0.25">
      <c r="A3" s="7">
        <v>1</v>
      </c>
      <c r="B3" s="8" t="s">
        <v>92</v>
      </c>
      <c r="C3" s="9" t="s">
        <v>50</v>
      </c>
      <c r="D3" s="9" t="s">
        <v>65</v>
      </c>
      <c r="E3" s="9" t="s">
        <v>93</v>
      </c>
      <c r="F3" s="10">
        <v>2199</v>
      </c>
      <c r="G3" s="10">
        <v>2199</v>
      </c>
      <c r="H3" s="9">
        <v>2999</v>
      </c>
      <c r="I3" s="9" t="s">
        <v>94</v>
      </c>
      <c r="J3" s="11">
        <f>IFERROR((H3-G3)/H3,"")</f>
        <v>0.26675558519506504</v>
      </c>
      <c r="K3" s="9">
        <v>0</v>
      </c>
      <c r="L3" s="12" t="s">
        <v>95</v>
      </c>
      <c r="M3" s="13" t="s">
        <v>96</v>
      </c>
    </row>
    <row r="4" spans="1:13" ht="45.75" customHeight="1" x14ac:dyDescent="0.25">
      <c r="A4" s="7">
        <v>2</v>
      </c>
      <c r="B4" s="8" t="s">
        <v>97</v>
      </c>
      <c r="C4" s="9" t="s">
        <v>57</v>
      </c>
      <c r="D4" s="9" t="s">
        <v>65</v>
      </c>
      <c r="E4" s="9" t="s">
        <v>98</v>
      </c>
      <c r="F4" s="10">
        <v>1150</v>
      </c>
      <c r="G4" s="10">
        <v>1150</v>
      </c>
      <c r="H4" s="9">
        <v>1399</v>
      </c>
      <c r="I4" s="9" t="s">
        <v>99</v>
      </c>
      <c r="J4" s="11">
        <f>IFERROR((H4-G4)/H4,"")</f>
        <v>0.1779842744817727</v>
      </c>
      <c r="K4" s="9">
        <v>0</v>
      </c>
      <c r="L4" s="12" t="s">
        <v>95</v>
      </c>
      <c r="M4" s="13" t="s">
        <v>68</v>
      </c>
    </row>
    <row r="5" spans="1:13" ht="45.75" customHeight="1" x14ac:dyDescent="0.25">
      <c r="A5" s="7">
        <v>3</v>
      </c>
      <c r="B5" s="8" t="s">
        <v>100</v>
      </c>
      <c r="C5" s="9" t="s">
        <v>57</v>
      </c>
      <c r="D5" s="9" t="s">
        <v>65</v>
      </c>
      <c r="E5" s="9" t="s">
        <v>101</v>
      </c>
      <c r="F5" s="14">
        <v>5450</v>
      </c>
      <c r="G5" s="15">
        <v>8100</v>
      </c>
      <c r="H5" s="9">
        <v>9898</v>
      </c>
      <c r="I5" s="9" t="s">
        <v>102</v>
      </c>
      <c r="J5" s="11">
        <f>IFERROR((H5-G5)/H5,"")</f>
        <v>0.18165285916346738</v>
      </c>
      <c r="K5" s="9">
        <v>0</v>
      </c>
      <c r="L5" s="12" t="s">
        <v>95</v>
      </c>
      <c r="M5" s="16" t="s">
        <v>103</v>
      </c>
    </row>
    <row r="6" spans="1:13" ht="45.75" customHeight="1" x14ac:dyDescent="0.25">
      <c r="A6" s="7">
        <v>4</v>
      </c>
      <c r="B6" s="8" t="s">
        <v>104</v>
      </c>
      <c r="C6" s="9" t="s">
        <v>62</v>
      </c>
      <c r="D6" s="9" t="s">
        <v>44</v>
      </c>
      <c r="E6" s="9" t="s">
        <v>105</v>
      </c>
      <c r="F6" s="10">
        <v>750</v>
      </c>
      <c r="G6" s="10">
        <v>750</v>
      </c>
      <c r="H6" s="9">
        <v>1050</v>
      </c>
      <c r="I6" s="9" t="s">
        <v>106</v>
      </c>
      <c r="J6" s="11">
        <f>IFERROR((H6-G6)/H6,"")</f>
        <v>0.2857142857142857</v>
      </c>
      <c r="K6" s="9">
        <v>0</v>
      </c>
      <c r="L6" s="12" t="s">
        <v>95</v>
      </c>
      <c r="M6" s="13" t="s">
        <v>47</v>
      </c>
    </row>
    <row r="7" spans="1:13" ht="45.75" customHeight="1" x14ac:dyDescent="0.25">
      <c r="A7" s="7">
        <v>5</v>
      </c>
      <c r="B7" s="8" t="s">
        <v>107</v>
      </c>
      <c r="C7" s="9" t="s">
        <v>57</v>
      </c>
      <c r="D7" s="9" t="s">
        <v>44</v>
      </c>
      <c r="E7" s="9" t="s">
        <v>108</v>
      </c>
      <c r="F7" s="10">
        <v>1175</v>
      </c>
      <c r="G7" s="10">
        <v>1175</v>
      </c>
      <c r="H7" s="9">
        <v>1490</v>
      </c>
      <c r="I7" s="9" t="s">
        <v>109</v>
      </c>
      <c r="J7" s="11">
        <f>IFERROR((H7-G7)/H7,"")</f>
        <v>0.21140939597315436</v>
      </c>
      <c r="K7" s="9">
        <v>0</v>
      </c>
      <c r="L7" s="12" t="s">
        <v>95</v>
      </c>
      <c r="M7" s="13" t="s">
        <v>47</v>
      </c>
    </row>
    <row r="8" spans="1:13" x14ac:dyDescent="0.25">
      <c r="K8" s="17" t="s">
        <v>72</v>
      </c>
      <c r="L8" s="19" t="s">
        <v>110</v>
      </c>
    </row>
  </sheetData>
  <mergeCells count="1">
    <mergeCell ref="A1:M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showGridLines="0" zoomScaleNormal="100" workbookViewId="0">
      <pane ySplit="2" topLeftCell="A3" activePane="bottomLeft" state="frozen"/>
      <selection pane="bottomLeft"/>
    </sheetView>
  </sheetViews>
  <sheetFormatPr defaultColWidth="8.7109375" defaultRowHeight="15" x14ac:dyDescent="0.25"/>
  <cols>
    <col min="1" max="1" width="30" customWidth="1"/>
    <col min="2" max="3" width="20" customWidth="1"/>
    <col min="4" max="4" width="30" customWidth="1"/>
  </cols>
  <sheetData>
    <row r="1" spans="1:4" ht="24" customHeight="1" x14ac:dyDescent="0.25">
      <c r="A1" s="38" t="s">
        <v>111</v>
      </c>
      <c r="B1" s="38"/>
      <c r="C1" s="38"/>
      <c r="D1" s="38"/>
    </row>
    <row r="3" spans="1:4" x14ac:dyDescent="0.25">
      <c r="A3" s="4" t="s">
        <v>112</v>
      </c>
      <c r="B3" s="4" t="s">
        <v>113</v>
      </c>
      <c r="C3" s="4" t="s">
        <v>114</v>
      </c>
      <c r="D3" s="4" t="s">
        <v>115</v>
      </c>
    </row>
    <row r="4" spans="1:4" x14ac:dyDescent="0.25">
      <c r="A4" s="5" t="s">
        <v>11</v>
      </c>
      <c r="B4" s="20">
        <f>COUNTA('Must Buy'!B3:B11)</f>
        <v>9</v>
      </c>
      <c r="C4" s="12">
        <f>'Must Buy'!L12</f>
        <v>82075</v>
      </c>
      <c r="D4" s="6" t="s">
        <v>116</v>
      </c>
    </row>
    <row r="5" spans="1:4" x14ac:dyDescent="0.25">
      <c r="A5" s="5" t="s">
        <v>13</v>
      </c>
      <c r="B5" s="20">
        <f>COUNTA('Test Buy'!B3:B9)</f>
        <v>7</v>
      </c>
      <c r="C5" s="12">
        <f>'Test Buy'!L10</f>
        <v>35560</v>
      </c>
      <c r="D5" s="6" t="s">
        <v>117</v>
      </c>
    </row>
    <row r="6" spans="1:4" x14ac:dyDescent="0.25">
      <c r="A6" s="21" t="s">
        <v>118</v>
      </c>
      <c r="B6" s="21">
        <f>B4+B5</f>
        <v>16</v>
      </c>
      <c r="C6" s="22">
        <f>C4+C5</f>
        <v>117635</v>
      </c>
      <c r="D6" s="21" t="s">
        <v>119</v>
      </c>
    </row>
    <row r="8" spans="1:4" x14ac:dyDescent="0.25">
      <c r="A8" s="23" t="s">
        <v>120</v>
      </c>
    </row>
    <row r="9" spans="1:4" ht="38.25" x14ac:dyDescent="0.25">
      <c r="A9" s="24" t="s">
        <v>121</v>
      </c>
      <c r="B9" s="14" t="s">
        <v>122</v>
      </c>
      <c r="C9" s="25">
        <v>38500</v>
      </c>
      <c r="D9" s="26" t="s">
        <v>123</v>
      </c>
    </row>
    <row r="11" spans="1:4" x14ac:dyDescent="0.25">
      <c r="A11" s="1" t="s">
        <v>124</v>
      </c>
    </row>
    <row r="12" spans="1:4" ht="90" customHeight="1" x14ac:dyDescent="0.25">
      <c r="A12" s="43" t="s">
        <v>125</v>
      </c>
      <c r="B12" s="43"/>
      <c r="C12" s="43"/>
      <c r="D12" s="43"/>
    </row>
    <row r="14" spans="1:4" x14ac:dyDescent="0.25">
      <c r="A14" s="1" t="s">
        <v>126</v>
      </c>
    </row>
    <row r="15" spans="1:4" x14ac:dyDescent="0.25">
      <c r="A15" s="4" t="s">
        <v>33</v>
      </c>
      <c r="B15" s="4" t="s">
        <v>127</v>
      </c>
      <c r="C15" s="4" t="s">
        <v>128</v>
      </c>
      <c r="D15" s="4"/>
    </row>
    <row r="16" spans="1:4" x14ac:dyDescent="0.25">
      <c r="A16" s="5" t="s">
        <v>44</v>
      </c>
      <c r="B16" s="27">
        <f>SUMIF('Must Buy'!D3:D11,"Joyroom",'Must Buy'!L3:L11)+SUMIF('Test Buy'!D3:D9,"Joyroom",'Test Buy'!L3:L9)</f>
        <v>92910</v>
      </c>
      <c r="C16" s="28">
        <f>B16/C6</f>
        <v>0.78981595613550393</v>
      </c>
      <c r="D16" s="9"/>
    </row>
    <row r="17" spans="1:4" x14ac:dyDescent="0.25">
      <c r="A17" s="5" t="s">
        <v>65</v>
      </c>
      <c r="B17" s="27">
        <f>SUMIF('Must Buy'!D3:D11,"Anker",'Must Buy'!L3:L11)+SUMIF('Test Buy'!D3:D9,"Anker",'Test Buy'!L3:L9)</f>
        <v>24725</v>
      </c>
      <c r="C17" s="28">
        <f>B17/C6</f>
        <v>0.2101840438644961</v>
      </c>
      <c r="D17" s="9"/>
    </row>
  </sheetData>
  <mergeCells count="2">
    <mergeCell ref="A1:D1"/>
    <mergeCell ref="A12:D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showGridLines="0" zoomScaleNormal="100" workbookViewId="0">
      <pane ySplit="2" topLeftCell="A3" activePane="bottomLeft" state="frozen"/>
      <selection pane="bottomLeft"/>
    </sheetView>
  </sheetViews>
  <sheetFormatPr defaultColWidth="8.7109375" defaultRowHeight="15" x14ac:dyDescent="0.25"/>
  <cols>
    <col min="1" max="1" width="16" customWidth="1"/>
    <col min="2" max="2" width="34" customWidth="1"/>
    <col min="3" max="4" width="16" customWidth="1"/>
    <col min="5" max="5" width="60" customWidth="1"/>
  </cols>
  <sheetData>
    <row r="1" spans="1:5" ht="24" customHeight="1" x14ac:dyDescent="0.25">
      <c r="A1" s="38" t="s">
        <v>129</v>
      </c>
      <c r="B1" s="38"/>
      <c r="C1" s="38"/>
      <c r="D1" s="38"/>
      <c r="E1" s="38"/>
    </row>
    <row r="2" spans="1:5" x14ac:dyDescent="0.25">
      <c r="A2" s="4" t="s">
        <v>130</v>
      </c>
      <c r="B2" s="4" t="s">
        <v>31</v>
      </c>
      <c r="C2" s="4" t="s">
        <v>131</v>
      </c>
      <c r="D2" s="4" t="s">
        <v>132</v>
      </c>
      <c r="E2" s="4" t="s">
        <v>133</v>
      </c>
    </row>
    <row r="3" spans="1:5" ht="69.75" customHeight="1" x14ac:dyDescent="0.25">
      <c r="A3" s="29" t="s">
        <v>134</v>
      </c>
      <c r="B3" s="6" t="s">
        <v>135</v>
      </c>
      <c r="C3" s="6" t="s">
        <v>136</v>
      </c>
      <c r="D3" s="6" t="s">
        <v>137</v>
      </c>
      <c r="E3" s="6" t="s">
        <v>138</v>
      </c>
    </row>
    <row r="4" spans="1:5" ht="69.75" customHeight="1" x14ac:dyDescent="0.25">
      <c r="A4" s="29" t="s">
        <v>139</v>
      </c>
      <c r="B4" s="6" t="s">
        <v>140</v>
      </c>
      <c r="C4" s="6" t="s">
        <v>141</v>
      </c>
      <c r="D4" s="6" t="s">
        <v>142</v>
      </c>
      <c r="E4" s="6" t="s">
        <v>143</v>
      </c>
    </row>
    <row r="5" spans="1:5" ht="69.75" customHeight="1" x14ac:dyDescent="0.25">
      <c r="A5" s="29" t="s">
        <v>144</v>
      </c>
      <c r="B5" s="6" t="s">
        <v>145</v>
      </c>
      <c r="C5" s="6" t="s">
        <v>146</v>
      </c>
      <c r="D5" s="6" t="s">
        <v>147</v>
      </c>
      <c r="E5" s="6" t="s">
        <v>148</v>
      </c>
    </row>
    <row r="6" spans="1:5" ht="69.75" customHeight="1" x14ac:dyDescent="0.25">
      <c r="A6" s="29" t="s">
        <v>149</v>
      </c>
      <c r="B6" s="6" t="s">
        <v>150</v>
      </c>
      <c r="C6" s="6" t="s">
        <v>151</v>
      </c>
      <c r="D6" s="6" t="s">
        <v>152</v>
      </c>
      <c r="E6" s="6" t="s">
        <v>153</v>
      </c>
    </row>
    <row r="7" spans="1:5" ht="69.75" customHeight="1" x14ac:dyDescent="0.25">
      <c r="A7" s="29" t="s">
        <v>154</v>
      </c>
      <c r="B7" s="6" t="s">
        <v>155</v>
      </c>
      <c r="C7" s="6" t="s">
        <v>156</v>
      </c>
      <c r="D7" s="6" t="s">
        <v>157</v>
      </c>
      <c r="E7" s="6" t="s">
        <v>158</v>
      </c>
    </row>
    <row r="8" spans="1:5" ht="69.75" customHeight="1" x14ac:dyDescent="0.25">
      <c r="A8" s="29" t="s">
        <v>159</v>
      </c>
      <c r="B8" s="6" t="s">
        <v>160</v>
      </c>
      <c r="C8" s="6" t="s">
        <v>161</v>
      </c>
      <c r="D8" s="6" t="s">
        <v>162</v>
      </c>
      <c r="E8" s="6" t="s">
        <v>163</v>
      </c>
    </row>
  </sheetData>
  <mergeCells count="1">
    <mergeCell ref="A1:E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
  <sheetViews>
    <sheetView showGridLines="0" zoomScaleNormal="100" workbookViewId="0">
      <pane ySplit="3" topLeftCell="A4" activePane="bottomLeft" state="frozen"/>
      <selection pane="bottomLeft"/>
    </sheetView>
  </sheetViews>
  <sheetFormatPr defaultColWidth="8.7109375" defaultRowHeight="15" x14ac:dyDescent="0.25"/>
  <cols>
    <col min="1" max="1" width="4" customWidth="1"/>
    <col min="2" max="2" width="22" customWidth="1"/>
    <col min="3" max="3" width="30" customWidth="1"/>
    <col min="4" max="4" width="14" customWidth="1"/>
    <col min="5" max="7" width="12" customWidth="1"/>
    <col min="8" max="8" width="46" customWidth="1"/>
  </cols>
  <sheetData>
    <row r="1" spans="1:8" ht="24" customHeight="1" x14ac:dyDescent="0.25">
      <c r="A1" s="38" t="s">
        <v>164</v>
      </c>
      <c r="B1" s="38"/>
      <c r="C1" s="38"/>
      <c r="D1" s="38"/>
      <c r="E1" s="38"/>
      <c r="F1" s="38"/>
      <c r="G1" s="38"/>
      <c r="H1" s="38"/>
    </row>
    <row r="2" spans="1:8" ht="33.75" customHeight="1" x14ac:dyDescent="0.25">
      <c r="A2" s="44" t="s">
        <v>165</v>
      </c>
      <c r="B2" s="44"/>
      <c r="C2" s="44"/>
      <c r="D2" s="44"/>
      <c r="E2" s="44"/>
      <c r="F2" s="44"/>
      <c r="G2" s="44"/>
      <c r="H2" s="44"/>
    </row>
    <row r="3" spans="1:8" x14ac:dyDescent="0.25">
      <c r="A3" s="4" t="s">
        <v>30</v>
      </c>
      <c r="B3" s="4" t="s">
        <v>32</v>
      </c>
      <c r="C3" s="4" t="s">
        <v>166</v>
      </c>
      <c r="D3" s="4" t="s">
        <v>33</v>
      </c>
      <c r="E3" s="4" t="s">
        <v>167</v>
      </c>
      <c r="F3" s="4" t="s">
        <v>168</v>
      </c>
      <c r="G3" s="4" t="s">
        <v>169</v>
      </c>
      <c r="H3" s="4" t="s">
        <v>170</v>
      </c>
    </row>
    <row r="4" spans="1:8" ht="39.75" customHeight="1" x14ac:dyDescent="0.25">
      <c r="A4" s="7">
        <v>1</v>
      </c>
      <c r="B4" s="30" t="s">
        <v>171</v>
      </c>
      <c r="C4" s="9" t="s">
        <v>172</v>
      </c>
      <c r="D4" s="9" t="s">
        <v>173</v>
      </c>
      <c r="E4" s="31">
        <v>13850</v>
      </c>
      <c r="F4" s="31">
        <v>16999</v>
      </c>
      <c r="G4" s="11">
        <f t="shared" ref="G4:G15" si="0">(F4-E4)/F4</f>
        <v>0.18524619095240896</v>
      </c>
      <c r="H4" s="6" t="s">
        <v>174</v>
      </c>
    </row>
    <row r="5" spans="1:8" ht="39.75" customHeight="1" x14ac:dyDescent="0.25">
      <c r="A5" s="7">
        <v>2</v>
      </c>
      <c r="B5" s="30" t="s">
        <v>175</v>
      </c>
      <c r="C5" s="9" t="s">
        <v>176</v>
      </c>
      <c r="D5" s="9" t="s">
        <v>173</v>
      </c>
      <c r="E5" s="31">
        <v>1380</v>
      </c>
      <c r="F5" s="31">
        <v>1666</v>
      </c>
      <c r="G5" s="11">
        <f t="shared" si="0"/>
        <v>0.17166866746698681</v>
      </c>
      <c r="H5" s="6" t="s">
        <v>177</v>
      </c>
    </row>
    <row r="6" spans="1:8" ht="39.75" customHeight="1" x14ac:dyDescent="0.25">
      <c r="A6" s="7">
        <v>3</v>
      </c>
      <c r="B6" s="30" t="s">
        <v>178</v>
      </c>
      <c r="C6" s="9" t="s">
        <v>179</v>
      </c>
      <c r="D6" s="9" t="s">
        <v>180</v>
      </c>
      <c r="E6" s="31">
        <v>1390</v>
      </c>
      <c r="F6" s="31">
        <v>1699</v>
      </c>
      <c r="G6" s="11">
        <f t="shared" si="0"/>
        <v>0.18187168922895822</v>
      </c>
      <c r="H6" s="6" t="s">
        <v>181</v>
      </c>
    </row>
    <row r="7" spans="1:8" ht="39.75" customHeight="1" x14ac:dyDescent="0.25">
      <c r="A7" s="7">
        <v>4</v>
      </c>
      <c r="B7" s="30" t="s">
        <v>182</v>
      </c>
      <c r="C7" s="9" t="s">
        <v>183</v>
      </c>
      <c r="D7" s="9" t="s">
        <v>180</v>
      </c>
      <c r="E7" s="31">
        <v>1850</v>
      </c>
      <c r="F7" s="31">
        <v>2100</v>
      </c>
      <c r="G7" s="11">
        <f t="shared" si="0"/>
        <v>0.11904761904761904</v>
      </c>
      <c r="H7" s="6" t="s">
        <v>184</v>
      </c>
    </row>
    <row r="8" spans="1:8" ht="39.75" customHeight="1" x14ac:dyDescent="0.25">
      <c r="A8" s="7">
        <v>5</v>
      </c>
      <c r="B8" s="30" t="s">
        <v>185</v>
      </c>
      <c r="C8" s="9" t="s">
        <v>186</v>
      </c>
      <c r="D8" s="9" t="s">
        <v>180</v>
      </c>
      <c r="E8" s="31">
        <v>2799</v>
      </c>
      <c r="F8" s="31">
        <v>3350</v>
      </c>
      <c r="G8" s="11">
        <f t="shared" si="0"/>
        <v>0.1644776119402985</v>
      </c>
      <c r="H8" s="6" t="s">
        <v>187</v>
      </c>
    </row>
    <row r="9" spans="1:8" ht="39.75" customHeight="1" x14ac:dyDescent="0.25">
      <c r="A9" s="7">
        <v>6</v>
      </c>
      <c r="B9" s="30" t="s">
        <v>188</v>
      </c>
      <c r="C9" s="9" t="s">
        <v>189</v>
      </c>
      <c r="D9" s="9" t="s">
        <v>65</v>
      </c>
      <c r="E9" s="31">
        <v>2220</v>
      </c>
      <c r="F9" s="31">
        <v>2788</v>
      </c>
      <c r="G9" s="11">
        <f t="shared" si="0"/>
        <v>0.20373027259684362</v>
      </c>
      <c r="H9" s="6" t="s">
        <v>190</v>
      </c>
    </row>
    <row r="10" spans="1:8" ht="39.75" customHeight="1" x14ac:dyDescent="0.25">
      <c r="A10" s="7">
        <v>7</v>
      </c>
      <c r="B10" s="30" t="s">
        <v>191</v>
      </c>
      <c r="C10" s="9" t="s">
        <v>192</v>
      </c>
      <c r="D10" s="9" t="s">
        <v>193</v>
      </c>
      <c r="E10" s="31">
        <v>770</v>
      </c>
      <c r="F10" s="31">
        <v>939</v>
      </c>
      <c r="G10" s="11">
        <f t="shared" si="0"/>
        <v>0.1799787007454739</v>
      </c>
      <c r="H10" s="6" t="s">
        <v>194</v>
      </c>
    </row>
    <row r="11" spans="1:8" ht="39.75" customHeight="1" x14ac:dyDescent="0.25">
      <c r="A11" s="7">
        <v>8</v>
      </c>
      <c r="B11" s="30" t="s">
        <v>195</v>
      </c>
      <c r="C11" s="9" t="s">
        <v>196</v>
      </c>
      <c r="D11" s="9" t="s">
        <v>44</v>
      </c>
      <c r="E11" s="31">
        <v>2200</v>
      </c>
      <c r="F11" s="31">
        <v>2900</v>
      </c>
      <c r="G11" s="11">
        <f t="shared" si="0"/>
        <v>0.2413793103448276</v>
      </c>
      <c r="H11" s="6" t="s">
        <v>197</v>
      </c>
    </row>
    <row r="12" spans="1:8" ht="39.75" customHeight="1" x14ac:dyDescent="0.25">
      <c r="A12" s="7">
        <v>9</v>
      </c>
      <c r="B12" s="30" t="s">
        <v>198</v>
      </c>
      <c r="C12" s="9" t="s">
        <v>199</v>
      </c>
      <c r="D12" s="9" t="s">
        <v>44</v>
      </c>
      <c r="E12" s="31">
        <v>1550</v>
      </c>
      <c r="F12" s="31">
        <v>1900</v>
      </c>
      <c r="G12" s="11">
        <f t="shared" si="0"/>
        <v>0.18421052631578946</v>
      </c>
      <c r="H12" s="6" t="s">
        <v>200</v>
      </c>
    </row>
    <row r="13" spans="1:8" ht="39.75" customHeight="1" x14ac:dyDescent="0.25">
      <c r="A13" s="7">
        <v>10</v>
      </c>
      <c r="B13" s="30" t="s">
        <v>201</v>
      </c>
      <c r="C13" s="9" t="s">
        <v>202</v>
      </c>
      <c r="D13" s="9" t="s">
        <v>44</v>
      </c>
      <c r="E13" s="31">
        <v>1300</v>
      </c>
      <c r="F13" s="31">
        <v>1950</v>
      </c>
      <c r="G13" s="11">
        <f t="shared" si="0"/>
        <v>0.33333333333333331</v>
      </c>
      <c r="H13" s="6" t="s">
        <v>203</v>
      </c>
    </row>
    <row r="14" spans="1:8" ht="39.75" customHeight="1" x14ac:dyDescent="0.25">
      <c r="A14" s="7">
        <v>11</v>
      </c>
      <c r="B14" s="30" t="s">
        <v>204</v>
      </c>
      <c r="C14" s="9" t="s">
        <v>205</v>
      </c>
      <c r="D14" s="9" t="s">
        <v>44</v>
      </c>
      <c r="E14" s="31">
        <v>175</v>
      </c>
      <c r="F14" s="31">
        <v>410</v>
      </c>
      <c r="G14" s="11">
        <f t="shared" si="0"/>
        <v>0.57317073170731703</v>
      </c>
      <c r="H14" s="6" t="s">
        <v>206</v>
      </c>
    </row>
    <row r="15" spans="1:8" ht="39.75" customHeight="1" x14ac:dyDescent="0.25">
      <c r="A15" s="7">
        <v>12</v>
      </c>
      <c r="B15" s="30" t="s">
        <v>207</v>
      </c>
      <c r="C15" s="9" t="s">
        <v>208</v>
      </c>
      <c r="D15" s="9" t="s">
        <v>44</v>
      </c>
      <c r="E15" s="31">
        <v>225</v>
      </c>
      <c r="F15" s="31">
        <v>550</v>
      </c>
      <c r="G15" s="11">
        <f t="shared" si="0"/>
        <v>0.59090909090909094</v>
      </c>
      <c r="H15" s="6" t="s">
        <v>209</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5"/>
  <sheetViews>
    <sheetView showGridLines="0" zoomScaleNormal="100" workbookViewId="0">
      <pane ySplit="3" topLeftCell="A4" activePane="bottomLeft" state="frozen"/>
      <selection pane="bottomLeft"/>
    </sheetView>
  </sheetViews>
  <sheetFormatPr defaultColWidth="8.7109375" defaultRowHeight="15" x14ac:dyDescent="0.25"/>
  <cols>
    <col min="1" max="1" width="4" customWidth="1"/>
    <col min="2" max="2" width="26" customWidth="1"/>
    <col min="3" max="3" width="34" customWidth="1"/>
    <col min="4" max="4" width="46" customWidth="1"/>
    <col min="5" max="5" width="20" customWidth="1"/>
  </cols>
  <sheetData>
    <row r="1" spans="1:5" ht="24" customHeight="1" x14ac:dyDescent="0.25">
      <c r="A1" s="38" t="s">
        <v>210</v>
      </c>
      <c r="B1" s="38"/>
      <c r="C1" s="38"/>
      <c r="D1" s="38"/>
      <c r="E1" s="38"/>
    </row>
    <row r="2" spans="1:5" ht="25.5" customHeight="1" x14ac:dyDescent="0.25">
      <c r="A2" s="45" t="s">
        <v>211</v>
      </c>
      <c r="B2" s="45"/>
      <c r="C2" s="45"/>
      <c r="D2" s="45"/>
      <c r="E2" s="45"/>
    </row>
    <row r="3" spans="1:5" ht="25.5" x14ac:dyDescent="0.25">
      <c r="A3" s="4" t="s">
        <v>30</v>
      </c>
      <c r="B3" s="4" t="s">
        <v>212</v>
      </c>
      <c r="C3" s="4" t="s">
        <v>213</v>
      </c>
      <c r="D3" s="4" t="s">
        <v>214</v>
      </c>
      <c r="E3" s="4" t="s">
        <v>215</v>
      </c>
    </row>
    <row r="4" spans="1:5" ht="78" customHeight="1" x14ac:dyDescent="0.25">
      <c r="A4" s="7">
        <v>1</v>
      </c>
      <c r="B4" s="30" t="s">
        <v>216</v>
      </c>
      <c r="C4" s="6" t="s">
        <v>217</v>
      </c>
      <c r="D4" s="6" t="s">
        <v>218</v>
      </c>
      <c r="E4" s="32" t="s">
        <v>219</v>
      </c>
    </row>
    <row r="5" spans="1:5" ht="78" customHeight="1" x14ac:dyDescent="0.25">
      <c r="A5" s="7">
        <v>2</v>
      </c>
      <c r="B5" s="30" t="s">
        <v>220</v>
      </c>
      <c r="C5" s="6" t="s">
        <v>217</v>
      </c>
      <c r="D5" s="6" t="s">
        <v>221</v>
      </c>
      <c r="E5" s="32" t="s">
        <v>222</v>
      </c>
    </row>
    <row r="6" spans="1:5" ht="78" customHeight="1" x14ac:dyDescent="0.25">
      <c r="A6" s="7">
        <v>3</v>
      </c>
      <c r="B6" s="30" t="s">
        <v>223</v>
      </c>
      <c r="C6" s="6" t="s">
        <v>224</v>
      </c>
      <c r="D6" s="6" t="s">
        <v>225</v>
      </c>
      <c r="E6" s="32" t="s">
        <v>226</v>
      </c>
    </row>
    <row r="7" spans="1:5" ht="78" customHeight="1" x14ac:dyDescent="0.25">
      <c r="A7" s="7">
        <v>4</v>
      </c>
      <c r="B7" s="30" t="s">
        <v>227</v>
      </c>
      <c r="C7" s="6" t="s">
        <v>224</v>
      </c>
      <c r="D7" s="6" t="s">
        <v>228</v>
      </c>
      <c r="E7" s="32" t="s">
        <v>229</v>
      </c>
    </row>
    <row r="8" spans="1:5" ht="78" customHeight="1" x14ac:dyDescent="0.25">
      <c r="A8" s="7">
        <v>5</v>
      </c>
      <c r="B8" s="30" t="s">
        <v>230</v>
      </c>
      <c r="C8" s="6" t="s">
        <v>231</v>
      </c>
      <c r="D8" s="6" t="s">
        <v>232</v>
      </c>
      <c r="E8" s="32" t="s">
        <v>233</v>
      </c>
    </row>
    <row r="9" spans="1:5" ht="78" customHeight="1" x14ac:dyDescent="0.25">
      <c r="A9" s="7">
        <v>6</v>
      </c>
      <c r="B9" s="30" t="s">
        <v>234</v>
      </c>
      <c r="C9" s="6" t="s">
        <v>235</v>
      </c>
      <c r="D9" s="6" t="s">
        <v>236</v>
      </c>
      <c r="E9" s="32" t="s">
        <v>237</v>
      </c>
    </row>
    <row r="10" spans="1:5" ht="78" customHeight="1" x14ac:dyDescent="0.25">
      <c r="A10" s="7">
        <v>7</v>
      </c>
      <c r="B10" s="30" t="s">
        <v>238</v>
      </c>
      <c r="C10" s="6" t="s">
        <v>239</v>
      </c>
      <c r="D10" s="6" t="s">
        <v>240</v>
      </c>
      <c r="E10" s="32" t="s">
        <v>241</v>
      </c>
    </row>
    <row r="12" spans="1:5" x14ac:dyDescent="0.25">
      <c r="A12" s="46" t="s">
        <v>242</v>
      </c>
      <c r="B12" s="46"/>
      <c r="C12" s="46"/>
      <c r="D12" s="46"/>
      <c r="E12" s="46"/>
    </row>
    <row r="13" spans="1:5" ht="43.5" customHeight="1" x14ac:dyDescent="0.25">
      <c r="A13" s="33" t="s">
        <v>3</v>
      </c>
      <c r="B13" s="43" t="s">
        <v>243</v>
      </c>
      <c r="C13" s="43"/>
      <c r="D13" s="43"/>
      <c r="E13" s="43"/>
    </row>
    <row r="14" spans="1:5" ht="43.5" customHeight="1" x14ac:dyDescent="0.25">
      <c r="A14" s="33" t="s">
        <v>3</v>
      </c>
      <c r="B14" s="43" t="s">
        <v>244</v>
      </c>
      <c r="C14" s="43"/>
      <c r="D14" s="43"/>
      <c r="E14" s="43"/>
    </row>
    <row r="15" spans="1:5" ht="43.5" customHeight="1" x14ac:dyDescent="0.25">
      <c r="A15" s="33" t="s">
        <v>3</v>
      </c>
      <c r="B15" s="43" t="s">
        <v>245</v>
      </c>
      <c r="C15" s="43"/>
      <c r="D15" s="43"/>
      <c r="E15" s="43"/>
    </row>
  </sheetData>
  <mergeCells count="6">
    <mergeCell ref="B15:E15"/>
    <mergeCell ref="A1:E1"/>
    <mergeCell ref="A2:E2"/>
    <mergeCell ref="A12:E12"/>
    <mergeCell ref="B13:E13"/>
    <mergeCell ref="B14:E1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5"/>
  <sheetViews>
    <sheetView showGridLines="0" zoomScaleNormal="100" workbookViewId="0">
      <pane ySplit="3" topLeftCell="A4" activePane="bottomLeft" state="frozen"/>
      <selection pane="bottomLeft"/>
    </sheetView>
  </sheetViews>
  <sheetFormatPr defaultColWidth="8.7109375" defaultRowHeight="15" x14ac:dyDescent="0.25"/>
  <cols>
    <col min="1" max="1" width="4" customWidth="1"/>
    <col min="2" max="2" width="30" customWidth="1"/>
    <col min="3" max="3" width="16" customWidth="1"/>
    <col min="4" max="4" width="22" customWidth="1"/>
    <col min="5" max="5" width="16" customWidth="1"/>
    <col min="6" max="6" width="46" customWidth="1"/>
  </cols>
  <sheetData>
    <row r="1" spans="1:6" ht="24" customHeight="1" x14ac:dyDescent="0.25">
      <c r="A1" s="38" t="s">
        <v>246</v>
      </c>
      <c r="B1" s="38"/>
      <c r="C1" s="38"/>
      <c r="D1" s="38"/>
      <c r="E1" s="38"/>
      <c r="F1" s="38"/>
    </row>
    <row r="2" spans="1:6" ht="79.5" customHeight="1" x14ac:dyDescent="0.25">
      <c r="A2" s="44" t="s">
        <v>247</v>
      </c>
      <c r="B2" s="44"/>
      <c r="C2" s="44"/>
      <c r="D2" s="44"/>
      <c r="E2" s="44"/>
      <c r="F2" s="44"/>
    </row>
    <row r="3" spans="1:6" x14ac:dyDescent="0.25">
      <c r="A3" s="4" t="s">
        <v>30</v>
      </c>
      <c r="B3" s="4" t="s">
        <v>31</v>
      </c>
      <c r="C3" s="4" t="s">
        <v>248</v>
      </c>
      <c r="D3" s="4" t="s">
        <v>32</v>
      </c>
      <c r="E3" s="4" t="s">
        <v>249</v>
      </c>
      <c r="F3" s="4" t="s">
        <v>250</v>
      </c>
    </row>
    <row r="4" spans="1:6" ht="55.5" customHeight="1" x14ac:dyDescent="0.25">
      <c r="A4" s="7">
        <v>1</v>
      </c>
      <c r="B4" s="30" t="s">
        <v>251</v>
      </c>
      <c r="C4" s="9" t="s">
        <v>252</v>
      </c>
      <c r="D4" s="9" t="s">
        <v>253</v>
      </c>
      <c r="E4" s="9" t="s">
        <v>254</v>
      </c>
      <c r="F4" s="6" t="s">
        <v>255</v>
      </c>
    </row>
    <row r="5" spans="1:6" ht="55.5" customHeight="1" x14ac:dyDescent="0.25">
      <c r="A5" s="7">
        <v>2</v>
      </c>
      <c r="B5" s="30" t="s">
        <v>256</v>
      </c>
      <c r="C5" s="9" t="s">
        <v>252</v>
      </c>
      <c r="D5" s="9" t="s">
        <v>253</v>
      </c>
      <c r="E5" s="9" t="s">
        <v>257</v>
      </c>
      <c r="F5" s="6" t="s">
        <v>258</v>
      </c>
    </row>
    <row r="6" spans="1:6" ht="55.5" customHeight="1" x14ac:dyDescent="0.25">
      <c r="A6" s="7">
        <v>3</v>
      </c>
      <c r="B6" s="30" t="s">
        <v>259</v>
      </c>
      <c r="C6" s="9" t="s">
        <v>252</v>
      </c>
      <c r="D6" s="9" t="s">
        <v>260</v>
      </c>
      <c r="E6" s="9" t="s">
        <v>261</v>
      </c>
      <c r="F6" s="6" t="s">
        <v>262</v>
      </c>
    </row>
    <row r="7" spans="1:6" ht="55.5" customHeight="1" x14ac:dyDescent="0.25">
      <c r="A7" s="7">
        <v>4</v>
      </c>
      <c r="B7" s="30" t="s">
        <v>263</v>
      </c>
      <c r="C7" s="9" t="s">
        <v>44</v>
      </c>
      <c r="D7" s="9" t="s">
        <v>264</v>
      </c>
      <c r="E7" s="9" t="s">
        <v>265</v>
      </c>
      <c r="F7" s="6" t="s">
        <v>266</v>
      </c>
    </row>
    <row r="8" spans="1:6" ht="55.5" customHeight="1" x14ac:dyDescent="0.25">
      <c r="A8" s="7">
        <v>5</v>
      </c>
      <c r="B8" s="30" t="s">
        <v>267</v>
      </c>
      <c r="C8" s="9" t="s">
        <v>268</v>
      </c>
      <c r="D8" s="9" t="s">
        <v>269</v>
      </c>
      <c r="E8" s="9" t="s">
        <v>270</v>
      </c>
      <c r="F8" s="6" t="s">
        <v>271</v>
      </c>
    </row>
    <row r="9" spans="1:6" ht="55.5" customHeight="1" x14ac:dyDescent="0.25">
      <c r="A9" s="7">
        <v>6</v>
      </c>
      <c r="B9" s="30" t="s">
        <v>272</v>
      </c>
      <c r="C9" s="9" t="s">
        <v>273</v>
      </c>
      <c r="D9" s="9" t="s">
        <v>274</v>
      </c>
      <c r="E9" s="9" t="s">
        <v>275</v>
      </c>
      <c r="F9" s="6" t="s">
        <v>276</v>
      </c>
    </row>
    <row r="10" spans="1:6" ht="55.5" customHeight="1" x14ac:dyDescent="0.25">
      <c r="A10" s="7">
        <v>7</v>
      </c>
      <c r="B10" s="30" t="s">
        <v>277</v>
      </c>
      <c r="C10" s="9" t="s">
        <v>278</v>
      </c>
      <c r="D10" s="9" t="s">
        <v>279</v>
      </c>
      <c r="E10" s="9" t="s">
        <v>280</v>
      </c>
      <c r="F10" s="6" t="s">
        <v>281</v>
      </c>
    </row>
    <row r="11" spans="1:6" ht="55.5" customHeight="1" x14ac:dyDescent="0.25">
      <c r="A11" s="7">
        <v>8</v>
      </c>
      <c r="B11" s="30" t="s">
        <v>282</v>
      </c>
      <c r="C11" s="9" t="s">
        <v>283</v>
      </c>
      <c r="D11" s="9" t="s">
        <v>284</v>
      </c>
      <c r="E11" s="9" t="s">
        <v>285</v>
      </c>
      <c r="F11" s="6" t="s">
        <v>286</v>
      </c>
    </row>
    <row r="12" spans="1:6" ht="55.5" customHeight="1" x14ac:dyDescent="0.25">
      <c r="A12" s="7">
        <v>9</v>
      </c>
      <c r="B12" s="30" t="s">
        <v>287</v>
      </c>
      <c r="C12" s="9" t="s">
        <v>288</v>
      </c>
      <c r="D12" s="9" t="s">
        <v>289</v>
      </c>
      <c r="E12" s="9" t="s">
        <v>290</v>
      </c>
      <c r="F12" s="6" t="s">
        <v>291</v>
      </c>
    </row>
    <row r="13" spans="1:6" ht="55.5" customHeight="1" x14ac:dyDescent="0.25">
      <c r="A13" s="7">
        <v>10</v>
      </c>
      <c r="B13" s="30" t="s">
        <v>292</v>
      </c>
      <c r="C13" s="9" t="s">
        <v>293</v>
      </c>
      <c r="D13" s="9" t="s">
        <v>294</v>
      </c>
      <c r="E13" s="9" t="s">
        <v>295</v>
      </c>
      <c r="F13" s="6" t="s">
        <v>296</v>
      </c>
    </row>
    <row r="14" spans="1:6" ht="55.5" customHeight="1" x14ac:dyDescent="0.25">
      <c r="A14" s="7">
        <v>11</v>
      </c>
      <c r="B14" s="30" t="s">
        <v>297</v>
      </c>
      <c r="C14" s="9" t="s">
        <v>268</v>
      </c>
      <c r="D14" s="9" t="s">
        <v>298</v>
      </c>
      <c r="E14" s="9" t="s">
        <v>299</v>
      </c>
      <c r="F14" s="6" t="s">
        <v>300</v>
      </c>
    </row>
    <row r="15" spans="1:6" ht="55.5" customHeight="1" x14ac:dyDescent="0.25">
      <c r="A15" s="7">
        <v>12</v>
      </c>
      <c r="B15" s="30" t="s">
        <v>301</v>
      </c>
      <c r="C15" s="9" t="s">
        <v>302</v>
      </c>
      <c r="D15" s="9" t="s">
        <v>303</v>
      </c>
      <c r="E15" s="9" t="s">
        <v>304</v>
      </c>
      <c r="F15" s="6" t="s">
        <v>305</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showGridLines="0" zoomScaleNormal="100" workbookViewId="0">
      <pane ySplit="1" topLeftCell="A2" activePane="bottomLeft" state="frozen"/>
      <selection pane="bottomLeft"/>
    </sheetView>
  </sheetViews>
  <sheetFormatPr defaultColWidth="8.7109375" defaultRowHeight="15" x14ac:dyDescent="0.25"/>
  <cols>
    <col min="1" max="1" width="16" customWidth="1"/>
    <col min="2" max="2" width="34" customWidth="1"/>
    <col min="3" max="3" width="46" customWidth="1"/>
  </cols>
  <sheetData>
    <row r="1" spans="1:3" ht="24" customHeight="1" x14ac:dyDescent="0.25">
      <c r="A1" s="38" t="s">
        <v>306</v>
      </c>
      <c r="B1" s="38"/>
      <c r="C1" s="38"/>
    </row>
    <row r="3" spans="1:3" ht="15.75" x14ac:dyDescent="0.25">
      <c r="A3" s="42" t="s">
        <v>44</v>
      </c>
      <c r="B3" s="42"/>
      <c r="C3" s="42"/>
    </row>
    <row r="4" spans="1:3" x14ac:dyDescent="0.25">
      <c r="A4" s="4" t="s">
        <v>307</v>
      </c>
      <c r="B4" s="4" t="s">
        <v>308</v>
      </c>
      <c r="C4" s="4" t="s">
        <v>309</v>
      </c>
    </row>
    <row r="5" spans="1:3" ht="39.75" customHeight="1" x14ac:dyDescent="0.25">
      <c r="A5" s="5" t="s">
        <v>310</v>
      </c>
      <c r="B5" s="9" t="s">
        <v>311</v>
      </c>
      <c r="C5" s="6" t="s">
        <v>312</v>
      </c>
    </row>
    <row r="6" spans="1:3" ht="39.75" customHeight="1" x14ac:dyDescent="0.25">
      <c r="A6" s="5" t="s">
        <v>313</v>
      </c>
      <c r="B6" s="9" t="s">
        <v>314</v>
      </c>
      <c r="C6" s="6" t="s">
        <v>315</v>
      </c>
    </row>
    <row r="7" spans="1:3" ht="39.75" customHeight="1" x14ac:dyDescent="0.25">
      <c r="A7" s="5" t="s">
        <v>316</v>
      </c>
      <c r="B7" s="9" t="s">
        <v>317</v>
      </c>
      <c r="C7" s="6" t="s">
        <v>318</v>
      </c>
    </row>
    <row r="8" spans="1:3" ht="39.75" customHeight="1" x14ac:dyDescent="0.25">
      <c r="A8" s="5" t="s">
        <v>319</v>
      </c>
      <c r="B8" s="9" t="s">
        <v>320</v>
      </c>
      <c r="C8" s="6" t="s">
        <v>321</v>
      </c>
    </row>
    <row r="9" spans="1:3" ht="39.75" customHeight="1" x14ac:dyDescent="0.25">
      <c r="A9" s="5" t="s">
        <v>322</v>
      </c>
      <c r="B9" s="9" t="s">
        <v>323</v>
      </c>
      <c r="C9" s="6" t="s">
        <v>324</v>
      </c>
    </row>
    <row r="11" spans="1:3" ht="15.75" x14ac:dyDescent="0.25">
      <c r="A11" s="42" t="s">
        <v>65</v>
      </c>
      <c r="B11" s="42"/>
      <c r="C11" s="42"/>
    </row>
    <row r="12" spans="1:3" x14ac:dyDescent="0.25">
      <c r="A12" s="4" t="s">
        <v>307</v>
      </c>
      <c r="B12" s="4" t="s">
        <v>308</v>
      </c>
      <c r="C12" s="4" t="s">
        <v>309</v>
      </c>
    </row>
    <row r="13" spans="1:3" ht="39.75" customHeight="1" x14ac:dyDescent="0.25">
      <c r="A13" s="5" t="s">
        <v>325</v>
      </c>
      <c r="B13" s="9" t="s">
        <v>326</v>
      </c>
      <c r="C13" s="6" t="s">
        <v>327</v>
      </c>
    </row>
    <row r="14" spans="1:3" ht="39.75" customHeight="1" x14ac:dyDescent="0.25">
      <c r="A14" s="5" t="s">
        <v>328</v>
      </c>
      <c r="B14" s="9" t="s">
        <v>329</v>
      </c>
      <c r="C14" s="6" t="s">
        <v>330</v>
      </c>
    </row>
    <row r="15" spans="1:3" ht="39.75" customHeight="1" x14ac:dyDescent="0.25">
      <c r="A15" s="5" t="s">
        <v>331</v>
      </c>
      <c r="B15" s="9" t="s">
        <v>332</v>
      </c>
      <c r="C15" s="6" t="s">
        <v>333</v>
      </c>
    </row>
    <row r="16" spans="1:3" ht="39.75" customHeight="1" x14ac:dyDescent="0.25">
      <c r="A16" s="5" t="s">
        <v>334</v>
      </c>
      <c r="B16" s="9" t="s">
        <v>335</v>
      </c>
      <c r="C16" s="6" t="s">
        <v>336</v>
      </c>
    </row>
    <row r="17" spans="1:3" ht="39.75" customHeight="1" x14ac:dyDescent="0.25">
      <c r="A17" s="5" t="s">
        <v>337</v>
      </c>
      <c r="B17" s="9" t="s">
        <v>338</v>
      </c>
      <c r="C17" s="6" t="s">
        <v>339</v>
      </c>
    </row>
    <row r="19" spans="1:3" ht="15.75" x14ac:dyDescent="0.25">
      <c r="A19" s="42" t="s">
        <v>340</v>
      </c>
      <c r="B19" s="42"/>
      <c r="C19" s="42"/>
    </row>
    <row r="20" spans="1:3" x14ac:dyDescent="0.25">
      <c r="A20" s="4" t="s">
        <v>341</v>
      </c>
      <c r="B20" s="4" t="s">
        <v>308</v>
      </c>
      <c r="C20" s="4" t="s">
        <v>342</v>
      </c>
    </row>
    <row r="21" spans="1:3" x14ac:dyDescent="0.25">
      <c r="A21" s="34" t="s">
        <v>343</v>
      </c>
      <c r="B21" s="9" t="s">
        <v>344</v>
      </c>
      <c r="C21" s="9" t="s">
        <v>345</v>
      </c>
    </row>
    <row r="22" spans="1:3" x14ac:dyDescent="0.25">
      <c r="A22" s="34" t="s">
        <v>346</v>
      </c>
      <c r="B22" s="9" t="s">
        <v>347</v>
      </c>
      <c r="C22" s="9" t="s">
        <v>348</v>
      </c>
    </row>
    <row r="23" spans="1:3" x14ac:dyDescent="0.25">
      <c r="A23" s="34" t="s">
        <v>349</v>
      </c>
      <c r="B23" s="9" t="s">
        <v>350</v>
      </c>
      <c r="C23" s="9" t="s">
        <v>351</v>
      </c>
    </row>
    <row r="24" spans="1:3" x14ac:dyDescent="0.25">
      <c r="A24" s="34" t="s">
        <v>352</v>
      </c>
      <c r="B24" s="9" t="s">
        <v>353</v>
      </c>
      <c r="C24" s="9" t="s">
        <v>354</v>
      </c>
    </row>
    <row r="25" spans="1:3" x14ac:dyDescent="0.25">
      <c r="A25" s="34" t="s">
        <v>355</v>
      </c>
      <c r="B25" s="9" t="s">
        <v>356</v>
      </c>
      <c r="C25" s="9" t="s">
        <v>357</v>
      </c>
    </row>
    <row r="27" spans="1:3" ht="49.5" customHeight="1" x14ac:dyDescent="0.25">
      <c r="A27" s="44" t="s">
        <v>358</v>
      </c>
      <c r="B27" s="44"/>
      <c r="C27" s="44"/>
    </row>
  </sheetData>
  <mergeCells count="5">
    <mergeCell ref="A1:C1"/>
    <mergeCell ref="A3:C3"/>
    <mergeCell ref="A11:C11"/>
    <mergeCell ref="A19:C19"/>
    <mergeCell ref="A27:C2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Must Buy</vt:lpstr>
      <vt:lpstr>Test Buy</vt:lpstr>
      <vt:lpstr>Avoid</vt:lpstr>
      <vt:lpstr>Investment Summary</vt:lpstr>
      <vt:lpstr>Pricing Corrections</vt:lpstr>
      <vt:lpstr>Additional Opportunities</vt:lpstr>
      <vt:lpstr>Website Readiness</vt:lpstr>
      <vt:lpstr>Generic Catalog (USD)</vt:lpstr>
      <vt:lpstr>Negotiation &amp; 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Kareem Abdel-Muttalib</cp:lastModifiedBy>
  <cp:revision>0</cp:revision>
  <dcterms:created xsi:type="dcterms:W3CDTF">2026-08-04T03:47:13Z</dcterms:created>
  <dcterms:modified xsi:type="dcterms:W3CDTF">2026-08-21T18:13:51Z</dcterms:modified>
  <dc:language>en-US</dc:language>
</cp:coreProperties>
</file>